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3bdf51cb1f33097/Documentos/PRACTICA - ALQUERIA/"/>
    </mc:Choice>
  </mc:AlternateContent>
  <xr:revisionPtr revIDLastSave="0" documentId="8_{3E8E4B09-7E19-4C60-BFB0-F9058730720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LACION CONTRATOS" sheetId="1" r:id="rId1"/>
    <sheet name="BODEGA ITAGUI" sheetId="4" state="hidden" r:id="rId2"/>
  </sheets>
  <definedNames>
    <definedName name="_xlnm._FilterDatabase" localSheetId="1" hidden="1">'BODEGA ITAGUI'!$A$1:$L$31</definedName>
    <definedName name="_xlnm._FilterDatabase" localSheetId="0" hidden="1">'RELACION CONTRATOS'!$A$2:$AA$119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2" i="1" l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90" i="1"/>
  <c r="N91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3" i="1"/>
  <c r="L64" i="1"/>
  <c r="H44" i="4"/>
  <c r="I44" i="4" s="1"/>
  <c r="L46" i="1"/>
  <c r="H25" i="4"/>
  <c r="I25" i="4" s="1"/>
  <c r="H24" i="4"/>
  <c r="I24" i="4" s="1"/>
  <c r="H30" i="4"/>
  <c r="I30" i="4" s="1"/>
  <c r="H28" i="4"/>
  <c r="I28" i="4" s="1"/>
  <c r="G27" i="4"/>
  <c r="G26" i="4"/>
  <c r="H27" i="4"/>
  <c r="I27" i="4" s="1"/>
  <c r="H26" i="4"/>
  <c r="H23" i="4"/>
  <c r="H22" i="4"/>
  <c r="H21" i="4"/>
  <c r="I26" i="4"/>
  <c r="I23" i="4"/>
  <c r="I22" i="4"/>
  <c r="I21" i="4"/>
  <c r="L3" i="4"/>
  <c r="L4" i="4" s="1"/>
  <c r="H18" i="4"/>
  <c r="I18" i="4" s="1"/>
  <c r="H19" i="4"/>
  <c r="I19" i="4" s="1"/>
  <c r="H20" i="4"/>
  <c r="I20" i="4" s="1"/>
  <c r="F3" i="4"/>
  <c r="H3" i="4" s="1"/>
  <c r="I3" i="4" s="1"/>
  <c r="F4" i="4"/>
  <c r="H4" i="4" s="1"/>
  <c r="I4" i="4" s="1"/>
  <c r="F5" i="4"/>
  <c r="H5" i="4" s="1"/>
  <c r="I5" i="4" s="1"/>
  <c r="F6" i="4"/>
  <c r="H6" i="4" s="1"/>
  <c r="I6" i="4" s="1"/>
  <c r="F7" i="4"/>
  <c r="H7" i="4" s="1"/>
  <c r="I7" i="4" s="1"/>
  <c r="F8" i="4"/>
  <c r="H8" i="4" s="1"/>
  <c r="I8" i="4" s="1"/>
  <c r="F9" i="4"/>
  <c r="H9" i="4" s="1"/>
  <c r="I9" i="4" s="1"/>
  <c r="F10" i="4"/>
  <c r="H10" i="4" s="1"/>
  <c r="I10" i="4" s="1"/>
  <c r="F11" i="4"/>
  <c r="H11" i="4" s="1"/>
  <c r="I11" i="4" s="1"/>
  <c r="F12" i="4"/>
  <c r="H12" i="4" s="1"/>
  <c r="I12" i="4" s="1"/>
  <c r="H13" i="4"/>
  <c r="I13" i="4" s="1"/>
  <c r="H14" i="4"/>
  <c r="I14" i="4" s="1"/>
  <c r="H15" i="4"/>
  <c r="I15" i="4" s="1"/>
  <c r="H16" i="4"/>
  <c r="I16" i="4" s="1"/>
  <c r="H17" i="4"/>
  <c r="I17" i="4" s="1"/>
  <c r="F2" i="4"/>
  <c r="H2" i="4" s="1"/>
  <c r="I2" i="4" s="1"/>
  <c r="L5" i="4" l="1"/>
  <c r="L6" i="4" s="1"/>
</calcChain>
</file>

<file path=xl/sharedStrings.xml><?xml version="1.0" encoding="utf-8"?>
<sst xmlns="http://schemas.openxmlformats.org/spreadsheetml/2006/main" count="1892" uniqueCount="504">
  <si>
    <t xml:space="preserve">BD ARRIENDOS </t>
  </si>
  <si>
    <t>ARTICULO</t>
  </si>
  <si>
    <t>CIA</t>
  </si>
  <si>
    <t>Direccion completa</t>
  </si>
  <si>
    <t>Area asume Gasto</t>
  </si>
  <si>
    <t>Administrador contrato</t>
  </si>
  <si>
    <t>Centro Costo</t>
  </si>
  <si>
    <t>Valor asumido por cc</t>
  </si>
  <si>
    <t>DESCRIPCIÓN</t>
  </si>
  <si>
    <t>NIT de PROVEEDOR</t>
  </si>
  <si>
    <t>Nombre de PROVEEDOR</t>
  </si>
  <si>
    <t>PRECIO</t>
  </si>
  <si>
    <t>NEGOCIADOR</t>
  </si>
  <si>
    <t>CONTRATO</t>
  </si>
  <si>
    <t>FECHA INICIO</t>
  </si>
  <si>
    <t>FECHA FIN</t>
  </si>
  <si>
    <t xml:space="preserve">Mes incremento </t>
  </si>
  <si>
    <t>DURACION</t>
  </si>
  <si>
    <t>AJUSTE</t>
  </si>
  <si>
    <t>OBSERVACIONES ESPECIALES</t>
  </si>
  <si>
    <t xml:space="preserve">Vigencia </t>
  </si>
  <si>
    <t>Clasulas Terminación</t>
  </si>
  <si>
    <t>FKL</t>
  </si>
  <si>
    <t>Cl 58 8-47, Parque industrial Bucaramanga</t>
  </si>
  <si>
    <t>42020-PRODUCCION ADMON</t>
  </si>
  <si>
    <t>Arriendo Busa FKL Vía Aldia</t>
  </si>
  <si>
    <t>ALDIA - GERDIAL</t>
  </si>
  <si>
    <t>Jorge Villamil</t>
  </si>
  <si>
    <t>Si</t>
  </si>
  <si>
    <t>Agosto</t>
  </si>
  <si>
    <t>12 meses (prorroga automatica)</t>
  </si>
  <si>
    <t>IPC</t>
  </si>
  <si>
    <t xml:space="preserve">IPC a partir de agosto 
</t>
  </si>
  <si>
    <t xml:space="preserve">Vigente </t>
  </si>
  <si>
    <t>Notificación mínimo 30 días al vencimiento del contrato</t>
  </si>
  <si>
    <t>27001-ALMACE</t>
  </si>
  <si>
    <t>11005-SERVI GENERAL ADMON</t>
  </si>
  <si>
    <t>SER-1001</t>
  </si>
  <si>
    <t>CPNS</t>
  </si>
  <si>
    <t>Cra 21 #52-09, Bogota</t>
  </si>
  <si>
    <t>27022-DIRECCION REGIONALES</t>
  </si>
  <si>
    <t>Paula Carreño / Jessica Roldan</t>
  </si>
  <si>
    <t>Arriendo punto de venta QDV Galerias</t>
  </si>
  <si>
    <t>Alejandra Coral</t>
  </si>
  <si>
    <t>No, solo oc</t>
  </si>
  <si>
    <t>Junio</t>
  </si>
  <si>
    <t>Diciembre</t>
  </si>
  <si>
    <t>6 meses</t>
  </si>
  <si>
    <t>No aplica</t>
  </si>
  <si>
    <r>
      <rPr>
        <sz val="9"/>
        <color rgb="FF000000"/>
        <rFont val="Arial"/>
        <family val="2"/>
      </rPr>
      <t xml:space="preserve">No hay contrato
</t>
    </r>
    <r>
      <rPr>
        <sz val="9"/>
        <color rgb="FF00B050"/>
        <rFont val="Arial"/>
        <family val="2"/>
      </rPr>
      <t>El valor del canon tiene incluido el acueducto 
Se negocia con el Proveedor el aumento no del IPC, sino 6,28%</t>
    </r>
  </si>
  <si>
    <t>Vigente</t>
  </si>
  <si>
    <t>PNS</t>
  </si>
  <si>
    <t>Carrera 16 #15-28 Centro Administrativo Municipal</t>
  </si>
  <si>
    <t>27028-DISTRIBUCION PREVENT</t>
  </si>
  <si>
    <t>Logística / Tania Zambrano</t>
  </si>
  <si>
    <t>Arriendo mensual espacio alcadia armenia</t>
  </si>
  <si>
    <t>Armenia Alcaldia (municipio de Armenia)</t>
  </si>
  <si>
    <t>Enero</t>
  </si>
  <si>
    <t>1 año</t>
  </si>
  <si>
    <t xml:space="preserve">Revisar en dado caso para negociar IPC </t>
  </si>
  <si>
    <t>Plaza de parquedero</t>
  </si>
  <si>
    <t>Cra 8 #121-61, Ibague</t>
  </si>
  <si>
    <t>Logística / Maria Elena Velez</t>
  </si>
  <si>
    <t xml:space="preserve">Arriendo Cedi Ibague </t>
  </si>
  <si>
    <t>ASFF SAS</t>
  </si>
  <si>
    <t>si</t>
  </si>
  <si>
    <t>Febrero</t>
  </si>
  <si>
    <t>Total área construida 783m2</t>
  </si>
  <si>
    <t>27001-ALMACENAMIENTO</t>
  </si>
  <si>
    <t>Parque industrial Innova, km 7.8 autopista Medellin. Tenjo, cundinamarca</t>
  </si>
  <si>
    <t>Arriendo Cedi Meridiano</t>
  </si>
  <si>
    <t>AYURA SAS</t>
  </si>
  <si>
    <t xml:space="preserve">                               </t>
  </si>
  <si>
    <t>10 años</t>
  </si>
  <si>
    <t>Area Total 7019,75 m2
Vencida la vigencia inicial del contrato, se podrá renovar cada 3 años automáticamente</t>
  </si>
  <si>
    <t>Después de los 10 años, cualquier parte podrá terminar el contrato unilateralmente 6 meses antes del vencimiento de la prórroga</t>
  </si>
  <si>
    <t>ARRIE MERIDIANOD INNOVA ( SERV ENERGIA SOLAR x kWh)</t>
  </si>
  <si>
    <t>N/A</t>
  </si>
  <si>
    <t>Avenida Boyaca #152B - 62 Bogota DC</t>
  </si>
  <si>
    <t>11348-GASTOS ONA</t>
  </si>
  <si>
    <t>Soluciones Integrales / Marlon Gomez</t>
  </si>
  <si>
    <t>Arriendo ONA 4 y 5 piso (valor de los dos pisos)</t>
  </si>
  <si>
    <t>CALLE ARTURO- INVERSIONES E INMUEBLES AC</t>
  </si>
  <si>
    <t>4 años</t>
  </si>
  <si>
    <t>IPC Desde Enero</t>
  </si>
  <si>
    <t>IPC+1  Desde Enero y administración IPC</t>
  </si>
  <si>
    <t>Administración oficinas ONA 4 y 5 piso (valor de los dos pisos)</t>
  </si>
  <si>
    <t>SMMLV</t>
  </si>
  <si>
    <t>Carrera 25 #34-25, Bucaramanga, Santander</t>
  </si>
  <si>
    <t>21018-BUSAS</t>
  </si>
  <si>
    <t>Arriendo Busa 1 Bucaramanga</t>
  </si>
  <si>
    <t>Carsanta SAS</t>
  </si>
  <si>
    <t>Mayo</t>
  </si>
  <si>
    <t>1 año (prorrogar automatica anual)</t>
  </si>
  <si>
    <t>ipc + 5 puntos, pero se negocia solo aumento del IPC mas 2 puntos</t>
  </si>
  <si>
    <t>Este contrato se finalizó mediante carta de terminación para entregar en mayo 2024</t>
  </si>
  <si>
    <t>Finalizado</t>
  </si>
  <si>
    <t>SER-1010</t>
  </si>
  <si>
    <t>Av calle 80 #79 -70, Bogota</t>
  </si>
  <si>
    <t>23002-CANAL SUPERETTES</t>
  </si>
  <si>
    <t>Arrendamiento mensual por cada cupo de parqueadero CD Norte</t>
  </si>
  <si>
    <t>CENTRAL PARKING SYSTEM COLOMBI</t>
  </si>
  <si>
    <t>Octubre</t>
  </si>
  <si>
    <t>Indefinido</t>
  </si>
  <si>
    <t>Hasta la solicitud del usuario Manuel Barahona</t>
  </si>
  <si>
    <t>23001-SUPERMERCADOS</t>
  </si>
  <si>
    <t>22001-PREVENTA</t>
  </si>
  <si>
    <t>25002-FOOD SERVICE</t>
  </si>
  <si>
    <t>Tarjetas de acceso cada una</t>
  </si>
  <si>
    <t>Calle 140 #12B - 61 Bogota, Colombia</t>
  </si>
  <si>
    <t>27022 - DIRECCIÓN REGIONALES</t>
  </si>
  <si>
    <t>Arriendo punto de venta QDV CEDITROS</t>
  </si>
  <si>
    <t>CENTRO COMERCIAL CEDRITOS, ZONA COMÚN No. 09</t>
  </si>
  <si>
    <t>Noviembre</t>
  </si>
  <si>
    <t>1 año prorrogable</t>
  </si>
  <si>
    <t>Se finalizó el 28 de junio 2024</t>
  </si>
  <si>
    <t>Ivonne Prieto</t>
  </si>
  <si>
    <t>SI</t>
  </si>
  <si>
    <t xml:space="preserve">Julio </t>
  </si>
  <si>
    <t>IPC. En todo caso no podrá ser inferior al 10%</t>
  </si>
  <si>
    <t>Administradora - Lorena Ortiz
Aumento IPC anual 
Total area 16m2</t>
  </si>
  <si>
    <t>Carrera 2 norte # 1-536 troncal de occidente vía Romelia el pollo, sector de la Alquería, Dosquebradas, Risaralda</t>
  </si>
  <si>
    <t>27022-DIRECCION REGIONALES
27001-ALMACENAMIENTO</t>
  </si>
  <si>
    <t>27022
27001</t>
  </si>
  <si>
    <t>$ 369.940
$ 1.479.760</t>
  </si>
  <si>
    <t>Administracion oficina Pereira</t>
  </si>
  <si>
    <t>CENTRO LOGISTICO EJE CAFETERO</t>
  </si>
  <si>
    <t>No</t>
  </si>
  <si>
    <t>Enero_por asamblea</t>
  </si>
  <si>
    <t>Carrera 70 # 1-141; Medellín - Colombia. Bahia o Isla</t>
  </si>
  <si>
    <t>ARRIENDO PUNTO DE VENTA MEDELLIN - ARKADIA</t>
  </si>
  <si>
    <t>CIMENTO INMUEBLES COMERCIALES</t>
  </si>
  <si>
    <t>Se radicó carta de terminación para entrega local 15 enero 2025</t>
  </si>
  <si>
    <t>ADMINISTRACION PUNTO DE VENTA MEDELLIN - ARKADIA</t>
  </si>
  <si>
    <t>ARKADIA</t>
  </si>
  <si>
    <t>21.856 por m2</t>
  </si>
  <si>
    <t>FUMIGACION PUNTO DE VENTA MEDELLIN - ARKADIA</t>
  </si>
  <si>
    <t>Natura ecoparque empresarial, km 2.176 anillo vial Floridablanca - Girón Oficina 315, piso 3 etapa 1 torre 1. Floridablanca Santander</t>
  </si>
  <si>
    <t>21001-AUTOVENTA</t>
  </si>
  <si>
    <t>Comercial / Gustavo Adolfo Pareja</t>
  </si>
  <si>
    <t>Arriendo Conjunto Natura Ecoparque tarjeta de acceso</t>
  </si>
  <si>
    <t>CONJUNTO NATURA ECOPARQUE EMPR</t>
  </si>
  <si>
    <t xml:space="preserve">ok aprobado aumento para 2025 en enero </t>
  </si>
  <si>
    <t>Arriendo CONJUNTO NATURA ECOPARQUE x hora para Vehiculo (Bucaramanga)</t>
  </si>
  <si>
    <t>Arriendo CONJUNTO NATURA ECOPARQUE x hora para Moto (Bucaramanga)</t>
  </si>
  <si>
    <t> </t>
  </si>
  <si>
    <t>SERV-0003</t>
  </si>
  <si>
    <t>EPLAS</t>
  </si>
  <si>
    <t>Km 1 vía Siiberia Funza bodega 63</t>
  </si>
  <si>
    <t>11005-SERVIC GENERAL ADMON</t>
  </si>
  <si>
    <t>Industrial /Jose Ricardo Vargas</t>
  </si>
  <si>
    <t>Administración Zona franca fijo</t>
  </si>
  <si>
    <t>Copropiedad Zona Franca</t>
  </si>
  <si>
    <t>NO, es propio</t>
  </si>
  <si>
    <t>Por Asamblea de Copropietarios</t>
  </si>
  <si>
    <t>Bodega propia, se paga por leasing</t>
  </si>
  <si>
    <t>Busa Cucuta</t>
  </si>
  <si>
    <t>FLORENCIA JAIMES</t>
  </si>
  <si>
    <t>Julio</t>
  </si>
  <si>
    <t>IPC en enero</t>
  </si>
  <si>
    <t>Se termina contrato el 5 de octubre 2023</t>
  </si>
  <si>
    <t>Kilómetro 2.5. de la vía Chía – Cajicá costado oriental. Centro comercial Fontanar</t>
  </si>
  <si>
    <t>ARRIENDO PUNTO DE VENTA Chia FONTANAR</t>
  </si>
  <si>
    <t>DESARROLLADORA FONTANAR</t>
  </si>
  <si>
    <t xml:space="preserve">IPC desde febrero </t>
  </si>
  <si>
    <t>Se finalizará en febrero. Carta de no renovación radicada 21 de nov 2025</t>
  </si>
  <si>
    <t>ADMON PUNTO DE VENTA Chia FONTANAR</t>
  </si>
  <si>
    <t>Administracion por m2</t>
  </si>
  <si>
    <t>Calle 110 #6- 335, parque internacional del Caride "PIC", Barranquilla - Atlántico</t>
  </si>
  <si>
    <t>Arriendo Cedi Barranquilla</t>
  </si>
  <si>
    <t>HVR</t>
  </si>
  <si>
    <t>5 años</t>
  </si>
  <si>
    <t>IPC + 2 puntos</t>
  </si>
  <si>
    <t xml:space="preserve">3.830 M2 total area </t>
  </si>
  <si>
    <t xml:space="preserve">Una vez terminado el periodo inicial se deberá notificar mínimo 90 días antes del vencimiento </t>
  </si>
  <si>
    <t>Prorroga automatica de 12 meses</t>
  </si>
  <si>
    <t>Desde Julio</t>
  </si>
  <si>
    <t>Arriendo Cedi Barranquilla (expasion bodega)</t>
  </si>
  <si>
    <t>IPC + 1 punto</t>
  </si>
  <si>
    <t>884,5 m2 total de ampliación</t>
  </si>
  <si>
    <t>29002-LOGISTICA</t>
  </si>
  <si>
    <t>ARRIENDO EPLAS/FUNZA fijo</t>
  </si>
  <si>
    <t>INTEXZONA</t>
  </si>
  <si>
    <t>Horario Extraordinario domingos y festivos (se facturan mínimo tres horas)</t>
  </si>
  <si>
    <t>Horario Extraordinario domingos y festivos (hora adicional)</t>
  </si>
  <si>
    <t>Clave de acceso variable</t>
  </si>
  <si>
    <t>Horario Extraordinario lunes a sábado</t>
  </si>
  <si>
    <t>Calle 79 sur 52A - 145/245 unidad industrial Torcoroma PH lote bodega 6. La estrella - Antioquia</t>
  </si>
  <si>
    <t>ARRIE LA ESTRELLA MED-1</t>
  </si>
  <si>
    <t>INVERSIONES SIHOY</t>
  </si>
  <si>
    <t>5 AÑOS</t>
  </si>
  <si>
    <t>IPC+1 PTO</t>
  </si>
  <si>
    <t>Se debe notificar como mínimo 60 días antes del vencimiento, la terminación unilateral</t>
  </si>
  <si>
    <t>2 año mas</t>
  </si>
  <si>
    <t>Para 2022 maximo aumento 12%</t>
  </si>
  <si>
    <t>Arriendo bodega comercial Bucaramanga</t>
  </si>
  <si>
    <t>INVERSIONES COMPAS S.A.S</t>
  </si>
  <si>
    <t>mbral</t>
  </si>
  <si>
    <t xml:space="preserve">Prorroga automática por 1 año </t>
  </si>
  <si>
    <t>Administración Bodega Comercial Bucaramanga</t>
  </si>
  <si>
    <t>Calle 9 #10-51 Barrio Chipre - Esquinera. Manizales - Caldas</t>
  </si>
  <si>
    <t>Comercial / Mauricio Giraldo</t>
  </si>
  <si>
    <t>Arriendo Oficina Manizales</t>
  </si>
  <si>
    <t>JARAMILLO ESTRADA INMOB</t>
  </si>
  <si>
    <t>1 año. Prorroga automática</t>
  </si>
  <si>
    <t>IPC + 2 PTS</t>
  </si>
  <si>
    <t xml:space="preserve">Se debe notificar como mínimo 30 días antes del vencimiento con el pago de 2 canones de arrendamiento </t>
  </si>
  <si>
    <t>Carrera 65 #72-148/150, Medellin, Antioquia</t>
  </si>
  <si>
    <t>Industrial / Alejandro Guerrero</t>
  </si>
  <si>
    <t>Arriendo Planta Caribe - Medellín 50%</t>
  </si>
  <si>
    <t>JORGE CELIS</t>
  </si>
  <si>
    <t>10 AÑOS</t>
  </si>
  <si>
    <t>IPC + 2,5 puntos</t>
  </si>
  <si>
    <t>Total area 1.702,15 m2</t>
  </si>
  <si>
    <t>42020-PROD ADMINISTRACION</t>
  </si>
  <si>
    <t>LUIS CELIS</t>
  </si>
  <si>
    <t>Centro logístico del Eje Cafetero, Dosquebradas</t>
  </si>
  <si>
    <t>Arriendo Cedi Pereira 50%</t>
  </si>
  <si>
    <t>Le dahu</t>
  </si>
  <si>
    <t>Marzo</t>
  </si>
  <si>
    <t>50% le dahu y 50% Tumo.</t>
  </si>
  <si>
    <t>Se prorroga en periodos iguales de 5 años</t>
  </si>
  <si>
    <t>Salida anticipada al 3 año, es decir al 2026</t>
  </si>
  <si>
    <t>Tumo SAS</t>
  </si>
  <si>
    <t>5 años . Prorroga automatica de 1 año</t>
  </si>
  <si>
    <t>Salida anticipada al 3 año, es decir al 2025</t>
  </si>
  <si>
    <t>Bodega 3, calle 14 sur #6-96, proyecto industrial la glorieta, Neiva - Huila</t>
  </si>
  <si>
    <t xml:space="preserve">Arriendo Cedi Neiva </t>
  </si>
  <si>
    <t>LUIS SAAVEDRA</t>
  </si>
  <si>
    <t>Cada año prorroga automatica</t>
  </si>
  <si>
    <t>Se negocia con el Proveedor para el 2025 no aumento de IPC. Mismo precio 2024</t>
  </si>
  <si>
    <t>Local #2, primer piso, Carrera 27A #6-04, barrio Santa Helena, Popayan</t>
  </si>
  <si>
    <t>ARRIENDO POPAYAN</t>
  </si>
  <si>
    <t>Luz Marina Rivera Velazco</t>
  </si>
  <si>
    <t>12 MESES. No tiene prorroga automática</t>
  </si>
  <si>
    <t>IPC enero</t>
  </si>
  <si>
    <t>Contrato finalizado en marzo 2024</t>
  </si>
  <si>
    <t>Carrera 11 # 2N - 48 Barrio Venecia - Popayan</t>
  </si>
  <si>
    <t>Arriendo oficina Popayan</t>
  </si>
  <si>
    <t>Aura Teresa Hoyos Astudillo</t>
  </si>
  <si>
    <t>Abril</t>
  </si>
  <si>
    <t>El canon  tiene incluido el pago de los servicios públicos</t>
  </si>
  <si>
    <t>ADMON CEDIS BQUILLA - HVR</t>
  </si>
  <si>
    <t>METROPARQUE</t>
  </si>
  <si>
    <t>Calle 5# 4-36-38-48, Cubarral, Meta</t>
  </si>
  <si>
    <t>41027-ACOPIO CUBARRAL</t>
  </si>
  <si>
    <t>Fomento Ganadero / Carlos Silva</t>
  </si>
  <si>
    <t xml:space="preserve">Arriendo prestación servicio Acopio Cubarrral </t>
  </si>
  <si>
    <t>Naydu Bedoya</t>
  </si>
  <si>
    <t>Para 2026 se mantendrá el mismo precio sin incremento del 2025</t>
  </si>
  <si>
    <t xml:space="preserve">Arriendo Acopio Cubarral </t>
  </si>
  <si>
    <t>ACOPIO MEDELLIN</t>
  </si>
  <si>
    <t>Fomento Ganadero / Jaime Arturo Albarracín</t>
  </si>
  <si>
    <t xml:space="preserve">Arriendo Acopio Antioquia </t>
  </si>
  <si>
    <t>EL LLANO DC S.A.S. ZOMAC</t>
  </si>
  <si>
    <r>
      <rPr>
        <sz val="9"/>
        <color rgb="FF000000"/>
        <rFont val="Arial"/>
        <family val="2"/>
      </rPr>
      <t xml:space="preserve">Terminación anticipada: 3 meses anticipación al vencimiento
</t>
    </r>
    <r>
      <rPr>
        <sz val="9"/>
        <color rgb="FFFF0000"/>
        <rFont val="Arial"/>
        <family val="2"/>
      </rPr>
      <t>Precio mercado: 54,64</t>
    </r>
  </si>
  <si>
    <t>Carrera 68A #39F 45 sur, Bogotá</t>
  </si>
  <si>
    <t>ARRIE CEDI SUR</t>
  </si>
  <si>
    <t>NOPLAY SAS</t>
  </si>
  <si>
    <t>IPC + 1 PUNTO</t>
  </si>
  <si>
    <t>Contrato finalizado 30 abril 2025. Se comenzó nuevo contrato con el mismo Arrendador el 01 de mayo 2025</t>
  </si>
  <si>
    <t xml:space="preserve">Acta de entrega firmada 28 agosto. </t>
  </si>
  <si>
    <t>Carrera 19 #5N - 16, centro comercial Bambusa plaza local #4</t>
  </si>
  <si>
    <t xml:space="preserve">Arriendo Oficina Armenia </t>
  </si>
  <si>
    <t xml:space="preserve">OLGA CLEMENCIA NIÑO PATIÑO - 
INVERSIONES CAMAPAR </t>
  </si>
  <si>
    <t>IPC+3 PTS</t>
  </si>
  <si>
    <t>Cl. 80 #69-70, Bogotá</t>
  </si>
  <si>
    <t>Arriendo PARQUE COMERCIAL PROSEGUROS AV</t>
  </si>
  <si>
    <t>PARQUE COMERCIAL PROSEGUROS AV</t>
  </si>
  <si>
    <t xml:space="preserve">Arriendo espacio Proseguros única vez 15 días </t>
  </si>
  <si>
    <t xml:space="preserve">Servicio de arrendamiento por única vez </t>
  </si>
  <si>
    <t>Cl 58 8-47 L 14 Bucaramanga</t>
  </si>
  <si>
    <t>Uso de parqueadero Planta de Bucaramanga</t>
  </si>
  <si>
    <t>PARQUE INDUSTRIAL DE BUCARAMANGA</t>
  </si>
  <si>
    <t>definido por Asamblea Copropietario</t>
  </si>
  <si>
    <t>Admon de la Planta Bucaramanga</t>
  </si>
  <si>
    <t>Admon del Parque Bucaramanga</t>
  </si>
  <si>
    <t>ca</t>
  </si>
  <si>
    <t>VDA TIBITO LT QUINCE, TOCANCIPA, CUNDINAMARCA</t>
  </si>
  <si>
    <t>ADMON PARQUE INDUSTRIAL GRAN SABANA</t>
  </si>
  <si>
    <t>PARQUE INDUSTRIAL GRAN SABANA</t>
  </si>
  <si>
    <t>Indefinido bodegas propias</t>
  </si>
  <si>
    <t>Frente Autodro Tocanipca</t>
  </si>
  <si>
    <t>ADMON del Operacion Meridiano</t>
  </si>
  <si>
    <t>PARQUE INDUSTRIAL INNOVA</t>
  </si>
  <si>
    <t>Planta Cajicá Km 5 vía Cajica - Tabio</t>
  </si>
  <si>
    <t xml:space="preserve">Planta PEC - Cajicá </t>
  </si>
  <si>
    <t>PNS COLOMBIA S.A.S</t>
  </si>
  <si>
    <t>3 años</t>
  </si>
  <si>
    <t>Contrato renovable cada 3 años</t>
  </si>
  <si>
    <t>Km 4 vía Acacias, VIllavicencio, Meta</t>
  </si>
  <si>
    <t>3099-ARRIENDO FACILITIES</t>
  </si>
  <si>
    <t>Arriendo Cedi Villavicencio</t>
  </si>
  <si>
    <t>PROCESADORA MONTECARLO</t>
  </si>
  <si>
    <t>3 AÑOS. Prorroga automática 3 años</t>
  </si>
  <si>
    <t>IPC + 3 puntos</t>
  </si>
  <si>
    <t>Se negocia con Montecarlo manejar solo el IPC para 2024. OJO, SE DEBE PEDIR MISMO AHORRO 2025</t>
  </si>
  <si>
    <t>Carrera 50FF 8 Sur - 27 edificio empresarial 808, piso 4, oficina 403. Medellin, Antioquia.</t>
  </si>
  <si>
    <t>Comercial / Alejandro Serna</t>
  </si>
  <si>
    <t xml:space="preserve">Oficina comercial Medellín </t>
  </si>
  <si>
    <t>RESTREPO E HIJAS / WAKATI S.A.S.</t>
  </si>
  <si>
    <t>Septiembre</t>
  </si>
  <si>
    <t>IPC+2 puntos</t>
  </si>
  <si>
    <t xml:space="preserve">Notificación con mínimo 3 meses de anticipación </t>
  </si>
  <si>
    <t>COMMEDIOS SAS</t>
  </si>
  <si>
    <t xml:space="preserve">IMPRESIONES ROJO - ALTOGROUP </t>
  </si>
  <si>
    <t>Calle 7 #5-65, barrio Pueblo Nuevo, Pailitas, Cesar</t>
  </si>
  <si>
    <t>28010-ALMAC AGROP PAILITAS</t>
  </si>
  <si>
    <t>Arriendo almacén agropecuario Pailitas</t>
  </si>
  <si>
    <t>Rico Pineda Karen Isabel/ YESENIA RODRIGUEZ</t>
  </si>
  <si>
    <t>1 Año (prorrogable cada año)</t>
  </si>
  <si>
    <t>IPC 1 de septimbre de cada año</t>
  </si>
  <si>
    <t xml:space="preserve">Arriendo Busa Pereira </t>
  </si>
  <si>
    <t>ROSA MARIA LOPEZ - 
Inmobiliaria Arboleda López</t>
  </si>
  <si>
    <t>1 año. Prorroga automática 1 año</t>
  </si>
  <si>
    <t>IPC +3 puntos</t>
  </si>
  <si>
    <t xml:space="preserve">Se prorroga cada año. IPC + 3 puntos </t>
  </si>
  <si>
    <t>Edificio Katay, calle 21 #8 - 71, local 3, Pereira - Risaralda</t>
  </si>
  <si>
    <t>Arriendo Busa 2 Bucaramanga</t>
  </si>
  <si>
    <t>Rosalba Reyes</t>
  </si>
  <si>
    <t xml:space="preserve">IPC </t>
  </si>
  <si>
    <r>
      <t xml:space="preserve">IPC
</t>
    </r>
    <r>
      <rPr>
        <sz val="9"/>
        <color rgb="FFFF0000"/>
        <rFont val="Arial"/>
        <family val="2"/>
      </rPr>
      <t>Se negocia con la Propietaria mantener el mismo precio del 2023 para el 2024</t>
    </r>
  </si>
  <si>
    <t>km 99 vía Bogotá- Chiquinquirá sector el reten Simijaca</t>
  </si>
  <si>
    <t>41030-ACOPIO SIMIJACA</t>
  </si>
  <si>
    <t xml:space="preserve">Arriendo Acopio Simijaca </t>
  </si>
  <si>
    <t>SERVIAGRO FINCA</t>
  </si>
  <si>
    <t>4 años - 1 año (prorrogar automatica anual)</t>
  </si>
  <si>
    <r>
      <t xml:space="preserve">Estasmo en la 4 porroga de cada 4 años
</t>
    </r>
    <r>
      <rPr>
        <sz val="9"/>
        <color rgb="FFFF0000"/>
        <rFont val="Arial"/>
        <family val="2"/>
      </rPr>
      <t xml:space="preserve">El Proveedor subió solo el IPC </t>
    </r>
  </si>
  <si>
    <t>Se debe notificar mínimo 30 días antes del vencimiento pagando 3 canones de arrendamiento</t>
  </si>
  <si>
    <t>Km. 41 autopista norte, Sesquile, Cundinamarca</t>
  </si>
  <si>
    <t>41005-ACOPIO SESQUILE</t>
  </si>
  <si>
    <t xml:space="preserve">Arriendo Acopio Sesquilé </t>
  </si>
  <si>
    <t>SERVICIOS ADMINISTRATIVOS CADN / CARLOS DAZA</t>
  </si>
  <si>
    <t>25-07-2001 Carlos Daza</t>
  </si>
  <si>
    <t>Solo IPC</t>
  </si>
  <si>
    <t>24-10-22 Servicios Admon CAN</t>
  </si>
  <si>
    <t xml:space="preserve">Arriendo equipos para acopio Sesquilé </t>
  </si>
  <si>
    <t>ARRIE ACOPIO SESQUILE Mtto</t>
  </si>
  <si>
    <t>12 meses</t>
  </si>
  <si>
    <t>Arriendo acopio Sesquilé (Mtto banco de hielo) Desde julio a octubre_23</t>
  </si>
  <si>
    <t>4 meses</t>
  </si>
  <si>
    <t>NO</t>
  </si>
  <si>
    <t>Carrera 43 #65 - 100 sector los Cámbulos</t>
  </si>
  <si>
    <t>Arriendo espacio mensual Terminal Manizales</t>
  </si>
  <si>
    <t>TERMINAL TRANSP MANIZALES</t>
  </si>
  <si>
    <t>Cra 50 F # 8 sur 27. Medellin</t>
  </si>
  <si>
    <t>ARRIENDO PARQUEADERO COMERCIAL MEDELLIN</t>
  </si>
  <si>
    <t>THE PARKING</t>
  </si>
  <si>
    <t>Avenida 19 #4-89, Local 128 centro comercial via libre, Bogota</t>
  </si>
  <si>
    <t>Arriendo punto de venta QDV Calle 19</t>
  </si>
  <si>
    <t>TU TECHO - JUAN SALAS INMOBILIARIA</t>
  </si>
  <si>
    <t>31/09/2026</t>
  </si>
  <si>
    <t>IPC +2</t>
  </si>
  <si>
    <t xml:space="preserve">Inicialmente estaba Tutecho, luego la Inmobiliaira Juan Salas quien tiene el contrato no aprobó contrato </t>
  </si>
  <si>
    <t xml:space="preserve">Se debe notificar como mínimo 15 días antes del vencimiento </t>
  </si>
  <si>
    <t xml:space="preserve">Administración punto de venta QDV Calle 19 </t>
  </si>
  <si>
    <t>Cada año se prorroga</t>
  </si>
  <si>
    <t>Avenida calle 80 #69 - 70 local 14 parque comercial Proseguros avenida 80 PH</t>
  </si>
  <si>
    <t>Comercial / Mauricio Larrota</t>
  </si>
  <si>
    <t>Oficina comercial Bogotá Norte</t>
  </si>
  <si>
    <t>UNIPROYECTOS S.A.S</t>
  </si>
  <si>
    <t xml:space="preserve">Este contrato pasado los 3 años, se renovará automáticamente por 1 más </t>
  </si>
  <si>
    <t xml:space="preserve">Se debe notificar como mínimo 3 meses antes del vencimiento </t>
  </si>
  <si>
    <t>Administración oficina comercial Bogotá norte</t>
  </si>
  <si>
    <t>Aumento cada año</t>
  </si>
  <si>
    <t>Según asamblea general de coopropietarios</t>
  </si>
  <si>
    <t>Centro comercial Ideo Cali, Calle 62 # 1N – 80 Frente a la estación del MIO, Cali, Valle del Cauca</t>
  </si>
  <si>
    <t>Oficina comercial Cali</t>
  </si>
  <si>
    <t>UNIVERSA OPERACIONES S.A.S</t>
  </si>
  <si>
    <t>$ 8.661.556</t>
  </si>
  <si>
    <t>3 años. Prorroga automática de 1 año</t>
  </si>
  <si>
    <t>IPC desde enero</t>
  </si>
  <si>
    <t xml:space="preserve">Administración oficina comercial Cali </t>
  </si>
  <si>
    <t>Según el presupuesto elaborado por la administración</t>
  </si>
  <si>
    <t xml:space="preserve">Ivonne Prieto </t>
  </si>
  <si>
    <t>Incremento IPC</t>
  </si>
  <si>
    <t>Calle 127 No. 7-19 local 207</t>
  </si>
  <si>
    <t>Arriendo punto de venta Quesos Local 21 y 22 Bogota Colina</t>
  </si>
  <si>
    <t>UNOSESENTAIUNO INMOBILIARIA S.A.S.</t>
  </si>
  <si>
    <t>IPC mas 2 puntos</t>
  </si>
  <si>
    <t>Se negoció para el 2024-2025 no aumento del IPC + 2 puntos, sino solo IPC. Es decir, en lugar de 5,007,600, pagar 4,917,600</t>
  </si>
  <si>
    <t>La terminación anticipada se debe notificar 6 meses antes del vencimiento ( mayo)</t>
  </si>
  <si>
    <t>Adminstracion de cada local punto de venta Quesos Local 21 y 22 Bogota Colina</t>
  </si>
  <si>
    <t>ojo , se negocio solo aumento de ipc sin dos puntos. Estar pte factura</t>
  </si>
  <si>
    <t>ARRIENDO PARQUEADERO CEDI SUR x vehiculo x mes</t>
  </si>
  <si>
    <t>WILCARS</t>
  </si>
  <si>
    <t xml:space="preserve">Se finaliza esta OC desde 1 de sept 2025 ya que se tomaban estos parqueaderos por la antigua bodega del cedi sur , con la nueva bodega ya no es necesario. </t>
  </si>
  <si>
    <t>ARRIENDO PARQUEADERO CEDI SUR x moto x mes</t>
  </si>
  <si>
    <t>Calle 50 No.
40-64</t>
  </si>
  <si>
    <t xml:space="preserve">LOGISTICA </t>
  </si>
  <si>
    <t xml:space="preserve">Arriendo Cedi Itagui </t>
  </si>
  <si>
    <t>ARRENDAMIENTOS Y AVALUOS
UMBRAL S.A.S,</t>
  </si>
  <si>
    <t>IPC+1</t>
  </si>
  <si>
    <t>Dentro de la negociación se ahorro de un incremento anual de IPC +2 a IPC + 1</t>
  </si>
  <si>
    <t>calle 65 # 12-498 Santa Marta</t>
  </si>
  <si>
    <t>ALEJANDRIA</t>
  </si>
  <si>
    <t>Alejandria / Diego Chavez</t>
  </si>
  <si>
    <t>Arriendo Imueble en
Magdalena, Municipio Santa Marta, Gaira</t>
  </si>
  <si>
    <t>CESAR CUBILLOS</t>
  </si>
  <si>
    <t>Diego Chavez</t>
  </si>
  <si>
    <t>LOGISTICA</t>
  </si>
  <si>
    <t>27022
27001</t>
  </si>
  <si>
    <t xml:space="preserve">Arriendo Cedi Sur </t>
  </si>
  <si>
    <t>7 años</t>
  </si>
  <si>
    <t>Cr. 17 B 21-12 Barrio, El Prado Pasto</t>
  </si>
  <si>
    <t>COMERCIAL</t>
  </si>
  <si>
    <t>Oficina Comercial Pasto</t>
  </si>
  <si>
    <t xml:space="preserve">ROSA AMERICA LEON </t>
  </si>
  <si>
    <t>El canon del arrendamiento cubre servicios públicos</t>
  </si>
  <si>
    <t>Pailitas- Cesar</t>
  </si>
  <si>
    <t>FOMENTO GANADERO</t>
  </si>
  <si>
    <t>Fomento Ganadero / Jose Gustavo Calderón</t>
  </si>
  <si>
    <t>Servicio de enfriamiento Acopio Pailitas</t>
  </si>
  <si>
    <t>901,598,911-1</t>
  </si>
  <si>
    <t>LACTEOS GALVIS SAS</t>
  </si>
  <si>
    <t>Antioquia</t>
  </si>
  <si>
    <t>Servicio de enfriamiento Acopio Antioquia</t>
  </si>
  <si>
    <t>DERIVADOS LACTEOS EL NORTE</t>
  </si>
  <si>
    <t>CODIGO ARTÍCULO</t>
  </si>
  <si>
    <t>PROVEEDOR</t>
  </si>
  <si>
    <t>CANT</t>
  </si>
  <si>
    <t xml:space="preserve">PRECIO FINAL </t>
  </si>
  <si>
    <t xml:space="preserve">PRECIO INICIAL </t>
  </si>
  <si>
    <t xml:space="preserve">AHORRO </t>
  </si>
  <si>
    <t>%</t>
  </si>
  <si>
    <t>MOTEC-006</t>
  </si>
  <si>
    <t xml:space="preserve">
Pulida Piso </t>
  </si>
  <si>
    <t xml:space="preserve">Mi constructora </t>
  </si>
  <si>
    <t xml:space="preserve">VALOR TOTAL </t>
  </si>
  <si>
    <t xml:space="preserve">
Divisiones Oficinas</t>
  </si>
  <si>
    <t>DESCUENTO OBTENIDO 7%</t>
  </si>
  <si>
    <t xml:space="preserve">
Instalación Lavamanos Bodega </t>
  </si>
  <si>
    <t>VALOR A PAGAR</t>
  </si>
  <si>
    <t xml:space="preserve">
Acometidas Eléctricas Divisiones </t>
  </si>
  <si>
    <t>ANTICIPO 30%</t>
  </si>
  <si>
    <t xml:space="preserve">
Puertas divisiones oficinas </t>
  </si>
  <si>
    <t>VALOR A PAGAR EN 2 CUOTAS</t>
  </si>
  <si>
    <t xml:space="preserve">
Sitio para Lavado de Traperas </t>
  </si>
  <si>
    <t xml:space="preserve">
Validación Planta Eléctrica </t>
  </si>
  <si>
    <t xml:space="preserve">
Sellante piso </t>
  </si>
  <si>
    <t xml:space="preserve">
Angeo Muro Bodega </t>
  </si>
  <si>
    <t xml:space="preserve">
Traslado de los Puestos de Trabajo (Facturación -- Cartera  )</t>
  </si>
  <si>
    <t xml:space="preserve">SISO </t>
  </si>
  <si>
    <t>Desmonte, cargue e instalcion de estanteria</t>
  </si>
  <si>
    <t xml:space="preserve">Logistral </t>
  </si>
  <si>
    <t>Desmonte, cargue e instalacion de estanteria</t>
  </si>
  <si>
    <t xml:space="preserve">Control de plagas Bodega Itagui </t>
  </si>
  <si>
    <t xml:space="preserve">Palmera Junior </t>
  </si>
  <si>
    <t xml:space="preserve">Jorge Villamil </t>
  </si>
  <si>
    <t>SER-1038</t>
  </si>
  <si>
    <t>Alquiler mensual contenedor x 40 refrigerado</t>
  </si>
  <si>
    <t>Refrilogistica</t>
  </si>
  <si>
    <t>TRA-001</t>
  </si>
  <si>
    <t>Transporte entrada C/U</t>
  </si>
  <si>
    <t>Montacargas de entrada 3 HORAS –</t>
  </si>
  <si>
    <t>Alquiler mensual planta elevadora de potencia</t>
  </si>
  <si>
    <t>Alquiler mensual soportes contenedor</t>
  </si>
  <si>
    <t>Transporte de salida</t>
  </si>
  <si>
    <t>Montacargas de entrada 2 HORAS</t>
  </si>
  <si>
    <t xml:space="preserve">Adecuación cuarto frío </t>
  </si>
  <si>
    <t>Peñaranda</t>
  </si>
  <si>
    <t>Instalación platinas estanteria</t>
  </si>
  <si>
    <t xml:space="preserve">Alquiler montacarga combustion </t>
  </si>
  <si>
    <t xml:space="preserve">Separador de marcos </t>
  </si>
  <si>
    <t>Carolina Monsalve</t>
  </si>
  <si>
    <t>Instalación de puntos eléctricos y datos</t>
  </si>
  <si>
    <t>Enertek</t>
  </si>
  <si>
    <t>Separador de marcos adicionales</t>
  </si>
  <si>
    <t>Trabajo la Estrella Oferta 2025-02-011</t>
  </si>
  <si>
    <t>Urgencia no hubo negociación</t>
  </si>
  <si>
    <t>Trabajos varios Itagui 2025-02-019</t>
  </si>
  <si>
    <t>Adicional piso 2025-02-012</t>
  </si>
  <si>
    <t xml:space="preserve">Adicionales </t>
  </si>
  <si>
    <t>Ciudad</t>
  </si>
  <si>
    <t>Bucaramanga</t>
  </si>
  <si>
    <t>Bogota</t>
  </si>
  <si>
    <t>Ibague</t>
  </si>
  <si>
    <t>Tenjo</t>
  </si>
  <si>
    <t>Dosquebradas</t>
  </si>
  <si>
    <t>Floridablanca</t>
  </si>
  <si>
    <t>Siberia Funza</t>
  </si>
  <si>
    <t>Barranquilla</t>
  </si>
  <si>
    <t>La estrella</t>
  </si>
  <si>
    <t>Manizales</t>
  </si>
  <si>
    <t>Medellin</t>
  </si>
  <si>
    <t>Neiva</t>
  </si>
  <si>
    <t>Popayan</t>
  </si>
  <si>
    <t>Cubarral</t>
  </si>
  <si>
    <t>Armenia</t>
  </si>
  <si>
    <t>Tocancipa</t>
  </si>
  <si>
    <t>Villavicencio</t>
  </si>
  <si>
    <t>Pailitas</t>
  </si>
  <si>
    <t>Pereira</t>
  </si>
  <si>
    <t>Simijaca</t>
  </si>
  <si>
    <t>Sesquile</t>
  </si>
  <si>
    <t>Cali</t>
  </si>
  <si>
    <t>Itagui</t>
  </si>
  <si>
    <t>Cajicá</t>
  </si>
  <si>
    <t>Santa Marta</t>
  </si>
  <si>
    <t>Pasto</t>
  </si>
  <si>
    <t>Cucuta</t>
  </si>
  <si>
    <t>Chia</t>
  </si>
  <si>
    <t>PESO DEL CENTRO DE COSTO</t>
  </si>
  <si>
    <t>PRECIO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</si>
</sst>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[$$-409]* #,##0.00_ ;_-[$$-409]* \-#,##0.00\ ;_-[$$-409]* &quot;-&quot;??_ ;_-@_ "/>
    <numFmt numFmtId="165" formatCode="&quot;$&quot;\ #,##0.0;[Red]\-&quot;$&quot;\ #,##0.0"/>
    <numFmt numFmtId="166" formatCode="_-&quot;$&quot;\ * #,##0_-;\-&quot;$&quot;\ * #,##0_-;_-&quot;$&quot;\ * &quot;-&quot;??_-;_-@_-"/>
    <numFmt numFmtId="167" formatCode="&quot;$&quot;\ #,##0"/>
  </numFmts>
  <fonts count="22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9"/>
      <color rgb="FFFF0000"/>
      <name val="Arial"/>
      <family val="2"/>
    </font>
    <font>
      <sz val="9"/>
      <color rgb="FF000000"/>
      <name val="Arial"/>
      <family val="2"/>
    </font>
    <font>
      <sz val="9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sz val="9"/>
      <color rgb="FFCC0000"/>
      <name val="Arial"/>
      <family val="2"/>
    </font>
    <font>
      <sz val="9"/>
      <color rgb="FF00B050"/>
      <name val="Arial"/>
      <family val="2"/>
    </font>
    <font>
      <b/>
      <sz val="11"/>
      <color theme="1"/>
      <name val="Calibri"/>
      <family val="2"/>
      <scheme val="minor"/>
    </font>
    <font>
      <sz val="9"/>
      <color rgb="FF002060"/>
      <name val="Arial"/>
      <family val="2"/>
    </font>
    <font>
      <sz val="9"/>
      <color rgb="FF000000"/>
      <name val="Verdana"/>
      <family val="2"/>
    </font>
    <font>
      <u/>
      <sz val="11"/>
      <color theme="10"/>
      <name val="Calibri"/>
      <family val="2"/>
      <scheme val="minor"/>
    </font>
    <font>
      <sz val="9"/>
      <color rgb="FF002060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3F3F3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theme="6" tint="-0.499984740745262"/>
        <bgColor rgb="FF000000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CCCCCC"/>
      </bottom>
      <diagonal/>
    </border>
    <border>
      <left/>
      <right/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/>
      <diagonal/>
    </border>
    <border>
      <left style="thin">
        <color rgb="FF000000"/>
      </left>
      <right style="thin">
        <color rgb="FFCCCCCC"/>
      </right>
      <top/>
      <bottom/>
      <diagonal/>
    </border>
    <border>
      <left style="thin">
        <color rgb="FF000000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/>
      <bottom/>
      <diagonal/>
    </border>
    <border>
      <left style="thin">
        <color rgb="FFCCCCCC"/>
      </left>
      <right style="thin">
        <color rgb="FF000000"/>
      </right>
      <top/>
      <bottom style="thin">
        <color rgb="FFCCCCCC"/>
      </bottom>
      <diagonal/>
    </border>
    <border>
      <left/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rgb="FFCCCCCC"/>
      </top>
      <bottom/>
      <diagonal/>
    </border>
    <border>
      <left style="dotted">
        <color indexed="64"/>
      </left>
      <right style="dotted">
        <color indexed="64"/>
      </right>
      <top/>
      <bottom style="thin">
        <color rgb="FFCCCCCC"/>
      </bottom>
      <diagonal/>
    </border>
  </borders>
  <cellStyleXfs count="4">
    <xf numFmtId="0" fontId="0" fillId="0" borderId="0"/>
    <xf numFmtId="0" fontId="16" fillId="0" borderId="0" applyNumberFormat="0" applyFill="0" applyBorder="0" applyAlignment="0" applyProtection="0"/>
    <xf numFmtId="44" fontId="20" fillId="0" borderId="0" applyFont="0" applyFill="0" applyBorder="0" applyAlignment="0" applyProtection="0"/>
    <xf numFmtId="9" fontId="20" fillId="0" borderId="0" applyFont="0" applyFill="0" applyBorder="0" applyAlignment="0" applyProtection="0"/>
  </cellStyleXfs>
  <cellXfs count="208">
    <xf numFmtId="0" fontId="0" fillId="0" borderId="0" xfId="0"/>
    <xf numFmtId="0" fontId="1" fillId="2" borderId="6" xfId="0" applyFont="1" applyFill="1" applyBorder="1" applyAlignment="1">
      <alignment horizontal="center" vertical="center" wrapText="1" readingOrder="1"/>
    </xf>
    <xf numFmtId="0" fontId="1" fillId="2" borderId="7" xfId="0" applyFont="1" applyFill="1" applyBorder="1" applyAlignment="1">
      <alignment horizontal="center" vertical="center" wrapText="1" readingOrder="1"/>
    </xf>
    <xf numFmtId="0" fontId="2" fillId="4" borderId="11" xfId="0" applyFont="1" applyFill="1" applyBorder="1" applyAlignment="1">
      <alignment horizontal="center" vertical="center" wrapText="1" readingOrder="1"/>
    </xf>
    <xf numFmtId="0" fontId="2" fillId="4" borderId="14" xfId="0" applyFont="1" applyFill="1" applyBorder="1" applyAlignment="1">
      <alignment horizontal="center" vertical="center" readingOrder="1"/>
    </xf>
    <xf numFmtId="0" fontId="2" fillId="4" borderId="6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readingOrder="1"/>
    </xf>
    <xf numFmtId="0" fontId="2" fillId="2" borderId="4" xfId="0" applyFont="1" applyFill="1" applyBorder="1" applyAlignment="1">
      <alignment horizontal="center" vertical="center" readingOrder="1"/>
    </xf>
    <xf numFmtId="0" fontId="5" fillId="2" borderId="4" xfId="0" applyFont="1" applyFill="1" applyBorder="1" applyAlignment="1">
      <alignment horizontal="center" vertical="center" readingOrder="1"/>
    </xf>
    <xf numFmtId="0" fontId="6" fillId="0" borderId="0" xfId="0" applyFont="1"/>
    <xf numFmtId="0" fontId="7" fillId="2" borderId="7" xfId="0" applyFont="1" applyFill="1" applyBorder="1" applyAlignment="1">
      <alignment horizontal="center" vertical="center" wrapText="1" readingOrder="1"/>
    </xf>
    <xf numFmtId="0" fontId="2" fillId="4" borderId="8" xfId="0" applyFont="1" applyFill="1" applyBorder="1" applyAlignment="1">
      <alignment horizontal="center" vertical="center" wrapText="1" readingOrder="1"/>
    </xf>
    <xf numFmtId="6" fontId="2" fillId="4" borderId="11" xfId="0" applyNumberFormat="1" applyFont="1" applyFill="1" applyBorder="1" applyAlignment="1">
      <alignment horizontal="center" vertical="center" wrapText="1" readingOrder="1"/>
    </xf>
    <xf numFmtId="0" fontId="8" fillId="4" borderId="11" xfId="0" applyFont="1" applyFill="1" applyBorder="1" applyAlignment="1">
      <alignment horizontal="center" vertical="center" wrapText="1" readingOrder="1"/>
    </xf>
    <xf numFmtId="14" fontId="2" fillId="4" borderId="11" xfId="0" applyNumberFormat="1" applyFont="1" applyFill="1" applyBorder="1" applyAlignment="1">
      <alignment horizontal="center" vertical="center" wrapText="1" readingOrder="1"/>
    </xf>
    <xf numFmtId="0" fontId="2" fillId="4" borderId="11" xfId="0" applyFont="1" applyFill="1" applyBorder="1" applyAlignment="1">
      <alignment horizontal="center" vertical="center" readingOrder="1"/>
    </xf>
    <xf numFmtId="0" fontId="6" fillId="0" borderId="0" xfId="0" applyFont="1" applyAlignment="1">
      <alignment horizontal="center" vertical="center"/>
    </xf>
    <xf numFmtId="0" fontId="2" fillId="4" borderId="12" xfId="0" applyFont="1" applyFill="1" applyBorder="1" applyAlignment="1">
      <alignment horizontal="center" vertical="center" wrapText="1" readingOrder="1"/>
    </xf>
    <xf numFmtId="6" fontId="2" fillId="4" borderId="12" xfId="0" applyNumberFormat="1" applyFont="1" applyFill="1" applyBorder="1" applyAlignment="1">
      <alignment horizontal="center" vertical="center" wrapText="1" readingOrder="1"/>
    </xf>
    <xf numFmtId="14" fontId="2" fillId="4" borderId="12" xfId="0" applyNumberFormat="1" applyFont="1" applyFill="1" applyBorder="1" applyAlignment="1">
      <alignment horizontal="center" vertical="center" wrapText="1" readingOrder="1"/>
    </xf>
    <xf numFmtId="0" fontId="2" fillId="4" borderId="12" xfId="0" applyFont="1" applyFill="1" applyBorder="1" applyAlignment="1">
      <alignment horizontal="center" vertical="center" readingOrder="1"/>
    </xf>
    <xf numFmtId="0" fontId="2" fillId="4" borderId="13" xfId="0" applyFont="1" applyFill="1" applyBorder="1" applyAlignment="1">
      <alignment horizontal="center" vertical="center" wrapText="1" readingOrder="1"/>
    </xf>
    <xf numFmtId="6" fontId="2" fillId="4" borderId="13" xfId="0" applyNumberFormat="1" applyFont="1" applyFill="1" applyBorder="1" applyAlignment="1">
      <alignment horizontal="center" vertical="center" wrapText="1" readingOrder="1"/>
    </xf>
    <xf numFmtId="14" fontId="2" fillId="4" borderId="13" xfId="0" applyNumberFormat="1" applyFont="1" applyFill="1" applyBorder="1" applyAlignment="1">
      <alignment horizontal="center" vertical="center" wrapText="1" readingOrder="1"/>
    </xf>
    <xf numFmtId="0" fontId="2" fillId="4" borderId="13" xfId="0" applyFont="1" applyFill="1" applyBorder="1" applyAlignment="1">
      <alignment horizontal="center" vertical="center" readingOrder="1"/>
    </xf>
    <xf numFmtId="0" fontId="2" fillId="4" borderId="5" xfId="0" applyFont="1" applyFill="1" applyBorder="1" applyAlignment="1">
      <alignment horizontal="center" vertical="center" wrapText="1" readingOrder="1"/>
    </xf>
    <xf numFmtId="6" fontId="2" fillId="4" borderId="6" xfId="0" applyNumberFormat="1" applyFont="1" applyFill="1" applyBorder="1" applyAlignment="1">
      <alignment horizontal="center" vertical="center" wrapText="1" readingOrder="1"/>
    </xf>
    <xf numFmtId="0" fontId="8" fillId="4" borderId="6" xfId="0" applyFont="1" applyFill="1" applyBorder="1" applyAlignment="1">
      <alignment horizontal="center" vertical="center" wrapText="1" readingOrder="1"/>
    </xf>
    <xf numFmtId="0" fontId="2" fillId="4" borderId="6" xfId="0" applyFont="1" applyFill="1" applyBorder="1" applyAlignment="1">
      <alignment horizontal="center" vertical="center" readingOrder="1"/>
    </xf>
    <xf numFmtId="0" fontId="10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 wrapText="1" readingOrder="1"/>
    </xf>
    <xf numFmtId="0" fontId="2" fillId="0" borderId="13" xfId="0" applyFont="1" applyBorder="1" applyAlignment="1">
      <alignment horizontal="center" vertical="center" wrapText="1" readingOrder="1"/>
    </xf>
    <xf numFmtId="6" fontId="9" fillId="4" borderId="6" xfId="0" applyNumberFormat="1" applyFont="1" applyFill="1" applyBorder="1" applyAlignment="1">
      <alignment horizontal="center" vertical="center" wrapText="1" readingOrder="1"/>
    </xf>
    <xf numFmtId="0" fontId="10" fillId="0" borderId="0" xfId="0" applyFont="1" applyAlignment="1">
      <alignment horizontal="center" vertical="center" wrapText="1"/>
    </xf>
    <xf numFmtId="14" fontId="2" fillId="4" borderId="6" xfId="0" applyNumberFormat="1" applyFont="1" applyFill="1" applyBorder="1" applyAlignment="1">
      <alignment horizontal="center" vertical="center" wrapText="1" readingOrder="1"/>
    </xf>
    <xf numFmtId="0" fontId="9" fillId="4" borderId="6" xfId="0" applyFont="1" applyFill="1" applyBorder="1" applyAlignment="1">
      <alignment horizontal="center" vertical="center" wrapText="1" readingOrder="1"/>
    </xf>
    <xf numFmtId="0" fontId="2" fillId="7" borderId="7" xfId="0" applyFont="1" applyFill="1" applyBorder="1" applyAlignment="1">
      <alignment horizontal="center" vertical="center" readingOrder="1"/>
    </xf>
    <xf numFmtId="0" fontId="2" fillId="0" borderId="6" xfId="0" applyFont="1" applyBorder="1" applyAlignment="1">
      <alignment horizontal="center" vertical="center" wrapText="1" readingOrder="1"/>
    </xf>
    <xf numFmtId="0" fontId="2" fillId="0" borderId="6" xfId="0" applyFont="1" applyBorder="1" applyAlignment="1">
      <alignment horizontal="center" vertical="center" readingOrder="1"/>
    </xf>
    <xf numFmtId="6" fontId="2" fillId="0" borderId="13" xfId="0" applyNumberFormat="1" applyFont="1" applyBorder="1" applyAlignment="1">
      <alignment horizontal="center" vertical="center" wrapText="1" readingOrder="1"/>
    </xf>
    <xf numFmtId="0" fontId="5" fillId="4" borderId="11" xfId="0" applyFont="1" applyFill="1" applyBorder="1" applyAlignment="1">
      <alignment horizontal="center" vertical="center" wrapText="1" readingOrder="1"/>
    </xf>
    <xf numFmtId="43" fontId="6" fillId="0" borderId="0" xfId="0" applyNumberFormat="1" applyFont="1" applyAlignment="1">
      <alignment horizontal="center" vertical="center"/>
    </xf>
    <xf numFmtId="6" fontId="6" fillId="0" borderId="0" xfId="0" applyNumberFormat="1" applyFont="1" applyAlignment="1">
      <alignment horizontal="center" vertical="center"/>
    </xf>
    <xf numFmtId="0" fontId="2" fillId="4" borderId="18" xfId="0" applyFont="1" applyFill="1" applyBorder="1" applyAlignment="1">
      <alignment horizontal="center" vertical="center" readingOrder="1"/>
    </xf>
    <xf numFmtId="0" fontId="10" fillId="0" borderId="0" xfId="0" applyFont="1"/>
    <xf numFmtId="6" fontId="6" fillId="0" borderId="0" xfId="0" applyNumberFormat="1" applyFont="1"/>
    <xf numFmtId="43" fontId="6" fillId="0" borderId="0" xfId="0" applyNumberFormat="1" applyFont="1"/>
    <xf numFmtId="0" fontId="2" fillId="4" borderId="16" xfId="0" applyFont="1" applyFill="1" applyBorder="1" applyAlignment="1">
      <alignment horizontal="center" vertical="center" readingOrder="1"/>
    </xf>
    <xf numFmtId="0" fontId="12" fillId="4" borderId="12" xfId="0" applyFont="1" applyFill="1" applyBorder="1" applyAlignment="1">
      <alignment horizontal="center" vertical="center" wrapText="1" readingOrder="1"/>
    </xf>
    <xf numFmtId="0" fontId="12" fillId="4" borderId="13" xfId="0" applyFont="1" applyFill="1" applyBorder="1" applyAlignment="1">
      <alignment horizontal="center" vertical="center" wrapText="1" readingOrder="1"/>
    </xf>
    <xf numFmtId="6" fontId="2" fillId="4" borderId="0" xfId="0" applyNumberFormat="1" applyFont="1" applyFill="1" applyAlignment="1">
      <alignment horizontal="center" vertical="center" wrapText="1" readingOrder="1"/>
    </xf>
    <xf numFmtId="0" fontId="0" fillId="0" borderId="0" xfId="0" applyAlignment="1">
      <alignment wrapText="1"/>
    </xf>
    <xf numFmtId="164" fontId="0" fillId="0" borderId="0" xfId="0" applyNumberFormat="1"/>
    <xf numFmtId="0" fontId="13" fillId="0" borderId="0" xfId="0" applyFont="1"/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8" fillId="6" borderId="6" xfId="0" applyFont="1" applyFill="1" applyBorder="1" applyAlignment="1">
      <alignment horizontal="center" vertical="center" wrapText="1" readingOrder="1"/>
    </xf>
    <xf numFmtId="6" fontId="14" fillId="4" borderId="6" xfId="0" applyNumberFormat="1" applyFont="1" applyFill="1" applyBorder="1" applyAlignment="1">
      <alignment horizontal="center" vertical="center" wrapText="1" readingOrder="1"/>
    </xf>
    <xf numFmtId="0" fontId="2" fillId="4" borderId="0" xfId="0" applyFont="1" applyFill="1" applyAlignment="1">
      <alignment horizontal="center" vertical="center" wrapText="1" readingOrder="1"/>
    </xf>
    <xf numFmtId="6" fontId="14" fillId="4" borderId="11" xfId="0" applyNumberFormat="1" applyFont="1" applyFill="1" applyBorder="1" applyAlignment="1">
      <alignment horizontal="center" vertical="center" wrapText="1" readingOrder="1"/>
    </xf>
    <xf numFmtId="0" fontId="2" fillId="7" borderId="14" xfId="0" applyFont="1" applyFill="1" applyBorder="1" applyAlignment="1">
      <alignment horizontal="center" vertical="center" readingOrder="1"/>
    </xf>
    <xf numFmtId="6" fontId="12" fillId="4" borderId="11" xfId="0" applyNumberFormat="1" applyFont="1" applyFill="1" applyBorder="1" applyAlignment="1">
      <alignment horizontal="center" vertical="center" wrapText="1" readingOrder="1"/>
    </xf>
    <xf numFmtId="0" fontId="18" fillId="4" borderId="13" xfId="0" applyFont="1" applyFill="1" applyBorder="1" applyAlignment="1">
      <alignment horizontal="center" vertical="center" wrapText="1" readingOrder="1"/>
    </xf>
    <xf numFmtId="0" fontId="18" fillId="4" borderId="12" xfId="0" applyFont="1" applyFill="1" applyBorder="1" applyAlignment="1">
      <alignment horizontal="center" vertical="center" wrapText="1" readingOrder="1"/>
    </xf>
    <xf numFmtId="6" fontId="12" fillId="4" borderId="13" xfId="0" applyNumberFormat="1" applyFont="1" applyFill="1" applyBorder="1" applyAlignment="1">
      <alignment horizontal="center" vertical="center" wrapText="1" readingOrder="1"/>
    </xf>
    <xf numFmtId="0" fontId="2" fillId="4" borderId="10" xfId="0" applyFont="1" applyFill="1" applyBorder="1" applyAlignment="1">
      <alignment horizontal="center" vertical="center" wrapText="1" readingOrder="1"/>
    </xf>
    <xf numFmtId="0" fontId="8" fillId="4" borderId="13" xfId="0" applyFont="1" applyFill="1" applyBorder="1" applyAlignment="1">
      <alignment horizontal="center" vertical="center" wrapText="1" readingOrder="1"/>
    </xf>
    <xf numFmtId="0" fontId="2" fillId="4" borderId="9" xfId="0" applyFont="1" applyFill="1" applyBorder="1" applyAlignment="1">
      <alignment horizontal="center" vertical="center" wrapText="1" readingOrder="1"/>
    </xf>
    <xf numFmtId="0" fontId="8" fillId="4" borderId="12" xfId="0" applyFont="1" applyFill="1" applyBorder="1" applyAlignment="1">
      <alignment horizontal="center" vertical="center" wrapText="1" readingOrder="1"/>
    </xf>
    <xf numFmtId="6" fontId="9" fillId="4" borderId="11" xfId="0" applyNumberFormat="1" applyFont="1" applyFill="1" applyBorder="1" applyAlignment="1">
      <alignment horizontal="center" vertical="center" wrapText="1" readingOrder="1"/>
    </xf>
    <xf numFmtId="6" fontId="9" fillId="4" borderId="12" xfId="0" applyNumberFormat="1" applyFont="1" applyFill="1" applyBorder="1" applyAlignment="1">
      <alignment horizontal="center" vertical="center" wrapText="1" readingOrder="1"/>
    </xf>
    <xf numFmtId="0" fontId="2" fillId="7" borderId="15" xfId="0" applyFont="1" applyFill="1" applyBorder="1" applyAlignment="1">
      <alignment horizontal="center" vertical="center" readingOrder="1"/>
    </xf>
    <xf numFmtId="0" fontId="1" fillId="9" borderId="5" xfId="0" applyFont="1" applyFill="1" applyBorder="1" applyAlignment="1">
      <alignment horizontal="center" vertical="center" wrapText="1" readingOrder="1"/>
    </xf>
    <xf numFmtId="0" fontId="1" fillId="9" borderId="6" xfId="0" applyFont="1" applyFill="1" applyBorder="1" applyAlignment="1">
      <alignment horizontal="center" vertical="center" wrapText="1" readingOrder="1"/>
    </xf>
    <xf numFmtId="0" fontId="3" fillId="9" borderId="6" xfId="0" applyFont="1" applyFill="1" applyBorder="1" applyAlignment="1">
      <alignment horizontal="center" vertical="center" wrapText="1" readingOrder="1"/>
    </xf>
    <xf numFmtId="0" fontId="19" fillId="10" borderId="6" xfId="0" applyFont="1" applyFill="1" applyBorder="1" applyAlignment="1">
      <alignment horizontal="center" vertical="center" wrapText="1" readingOrder="1"/>
    </xf>
    <xf numFmtId="6" fontId="2" fillId="4" borderId="23" xfId="0" applyNumberFormat="1" applyFont="1" applyFill="1" applyBorder="1" applyAlignment="1">
      <alignment horizontal="center" vertical="center" wrapText="1" readingOrder="1"/>
    </xf>
    <xf numFmtId="6" fontId="2" fillId="4" borderId="24" xfId="0" applyNumberFormat="1" applyFont="1" applyFill="1" applyBorder="1" applyAlignment="1">
      <alignment horizontal="center" vertical="center" wrapText="1" readingOrder="1"/>
    </xf>
    <xf numFmtId="6" fontId="2" fillId="4" borderId="25" xfId="0" applyNumberFormat="1" applyFont="1" applyFill="1" applyBorder="1" applyAlignment="1">
      <alignment horizontal="center" vertical="center" wrapText="1" readingOrder="1"/>
    </xf>
    <xf numFmtId="0" fontId="2" fillId="4" borderId="25" xfId="0" applyFont="1" applyFill="1" applyBorder="1" applyAlignment="1">
      <alignment horizontal="center" vertical="center" readingOrder="1"/>
    </xf>
    <xf numFmtId="6" fontId="2" fillId="4" borderId="25" xfId="0" applyNumberFormat="1" applyFont="1" applyFill="1" applyBorder="1" applyAlignment="1">
      <alignment horizontal="center" vertical="center" readingOrder="1"/>
    </xf>
    <xf numFmtId="6" fontId="2" fillId="0" borderId="23" xfId="0" applyNumberFormat="1" applyFont="1" applyBorder="1" applyAlignment="1">
      <alignment horizontal="center" vertical="center" wrapText="1" readingOrder="1"/>
    </xf>
    <xf numFmtId="6" fontId="2" fillId="0" borderId="24" xfId="0" applyNumberFormat="1" applyFont="1" applyBorder="1" applyAlignment="1">
      <alignment horizontal="center" vertical="center" wrapText="1" readingOrder="1"/>
    </xf>
    <xf numFmtId="6" fontId="2" fillId="3" borderId="25" xfId="0" applyNumberFormat="1" applyFont="1" applyFill="1" applyBorder="1" applyAlignment="1">
      <alignment horizontal="center" vertical="center" wrapText="1" readingOrder="1"/>
    </xf>
    <xf numFmtId="0" fontId="2" fillId="4" borderId="24" xfId="0" applyFont="1" applyFill="1" applyBorder="1" applyAlignment="1">
      <alignment horizontal="center" vertical="center" wrapText="1" readingOrder="1"/>
    </xf>
    <xf numFmtId="8" fontId="2" fillId="4" borderId="23" xfId="0" applyNumberFormat="1" applyFont="1" applyFill="1" applyBorder="1" applyAlignment="1">
      <alignment horizontal="center" vertical="center" wrapText="1" readingOrder="1"/>
    </xf>
    <xf numFmtId="8" fontId="2" fillId="4" borderId="0" xfId="0" applyNumberFormat="1" applyFont="1" applyFill="1" applyAlignment="1">
      <alignment horizontal="center" vertical="center" wrapText="1" readingOrder="1"/>
    </xf>
    <xf numFmtId="8" fontId="2" fillId="4" borderId="24" xfId="0" applyNumberFormat="1" applyFont="1" applyFill="1" applyBorder="1" applyAlignment="1">
      <alignment horizontal="center" vertical="center" wrapText="1" readingOrder="1"/>
    </xf>
    <xf numFmtId="8" fontId="2" fillId="4" borderId="25" xfId="0" applyNumberFormat="1" applyFont="1" applyFill="1" applyBorder="1" applyAlignment="1">
      <alignment horizontal="center" vertical="center" wrapText="1" readingOrder="1"/>
    </xf>
    <xf numFmtId="0" fontId="2" fillId="0" borderId="25" xfId="0" applyFont="1" applyBorder="1" applyAlignment="1">
      <alignment horizontal="center" vertical="center" readingOrder="1"/>
    </xf>
    <xf numFmtId="0" fontId="11" fillId="4" borderId="11" xfId="0" applyFont="1" applyFill="1" applyBorder="1" applyAlignment="1">
      <alignment horizontal="center" vertical="center" wrapText="1" readingOrder="1"/>
    </xf>
    <xf numFmtId="0" fontId="9" fillId="4" borderId="12" xfId="0" applyFont="1" applyFill="1" applyBorder="1" applyAlignment="1">
      <alignment horizontal="center" vertical="center" wrapText="1" readingOrder="1"/>
    </xf>
    <xf numFmtId="0" fontId="9" fillId="4" borderId="12" xfId="0" applyFont="1" applyFill="1" applyBorder="1" applyAlignment="1">
      <alignment horizontal="center" vertical="center" readingOrder="1"/>
    </xf>
    <xf numFmtId="6" fontId="9" fillId="4" borderId="13" xfId="0" applyNumberFormat="1" applyFont="1" applyFill="1" applyBorder="1" applyAlignment="1">
      <alignment horizontal="center" vertical="center" wrapText="1" readingOrder="1"/>
    </xf>
    <xf numFmtId="0" fontId="9" fillId="4" borderId="13" xfId="0" applyFont="1" applyFill="1" applyBorder="1" applyAlignment="1">
      <alignment horizontal="center" vertical="center" wrapText="1" readingOrder="1"/>
    </xf>
    <xf numFmtId="0" fontId="2" fillId="7" borderId="16" xfId="0" applyFont="1" applyFill="1" applyBorder="1" applyAlignment="1">
      <alignment horizontal="center" vertical="center" readingOrder="1"/>
    </xf>
    <xf numFmtId="0" fontId="2" fillId="0" borderId="10" xfId="0" applyFont="1" applyBorder="1" applyAlignment="1">
      <alignment horizontal="center" vertical="center" wrapText="1" readingOrder="1"/>
    </xf>
    <xf numFmtId="0" fontId="2" fillId="0" borderId="13" xfId="0" applyFont="1" applyBorder="1" applyAlignment="1">
      <alignment horizontal="center" vertical="center" readingOrder="1"/>
    </xf>
    <xf numFmtId="0" fontId="8" fillId="0" borderId="13" xfId="0" applyFont="1" applyBorder="1" applyAlignment="1">
      <alignment horizontal="center" vertical="center" wrapText="1" readingOrder="1"/>
    </xf>
    <xf numFmtId="14" fontId="2" fillId="0" borderId="13" xfId="0" applyNumberFormat="1" applyFont="1" applyBorder="1" applyAlignment="1">
      <alignment horizontal="center" vertical="center" wrapText="1" readingOrder="1"/>
    </xf>
    <xf numFmtId="0" fontId="9" fillId="0" borderId="13" xfId="0" applyFont="1" applyBorder="1" applyAlignment="1">
      <alignment horizontal="center" vertical="center" wrapText="1" readingOrder="1"/>
    </xf>
    <xf numFmtId="0" fontId="2" fillId="4" borderId="22" xfId="0" applyFont="1" applyFill="1" applyBorder="1" applyAlignment="1">
      <alignment horizontal="center" vertical="center" wrapText="1" readingOrder="1"/>
    </xf>
    <xf numFmtId="0" fontId="2" fillId="0" borderId="22" xfId="0" applyFont="1" applyBorder="1" applyAlignment="1">
      <alignment horizontal="center" vertical="center" wrapText="1" readingOrder="1"/>
    </xf>
    <xf numFmtId="0" fontId="8" fillId="4" borderId="22" xfId="0" applyFont="1" applyFill="1" applyBorder="1" applyAlignment="1">
      <alignment horizontal="center" vertical="center" wrapText="1" readingOrder="1"/>
    </xf>
    <xf numFmtId="6" fontId="12" fillId="4" borderId="22" xfId="0" applyNumberFormat="1" applyFont="1" applyFill="1" applyBorder="1" applyAlignment="1">
      <alignment horizontal="center" vertical="center" wrapText="1" readingOrder="1"/>
    </xf>
    <xf numFmtId="0" fontId="2" fillId="4" borderId="22" xfId="0" applyFont="1" applyFill="1" applyBorder="1" applyAlignment="1">
      <alignment horizontal="center" vertical="center" readingOrder="1"/>
    </xf>
    <xf numFmtId="0" fontId="18" fillId="4" borderId="22" xfId="0" applyFont="1" applyFill="1" applyBorder="1" applyAlignment="1">
      <alignment horizontal="center" vertical="center" readingOrder="1"/>
    </xf>
    <xf numFmtId="0" fontId="12" fillId="4" borderId="22" xfId="0" applyFont="1" applyFill="1" applyBorder="1" applyAlignment="1">
      <alignment horizontal="center" vertical="center" wrapText="1" readingOrder="1"/>
    </xf>
    <xf numFmtId="0" fontId="10" fillId="0" borderId="22" xfId="0" applyFont="1" applyBorder="1" applyAlignment="1">
      <alignment horizontal="center" vertical="center"/>
    </xf>
    <xf numFmtId="0" fontId="12" fillId="4" borderId="22" xfId="0" applyFont="1" applyFill="1" applyBorder="1" applyAlignment="1">
      <alignment horizontal="center" vertical="center" readingOrder="1"/>
    </xf>
    <xf numFmtId="14" fontId="2" fillId="4" borderId="22" xfId="0" applyNumberFormat="1" applyFont="1" applyFill="1" applyBorder="1" applyAlignment="1">
      <alignment horizontal="center" vertical="center" wrapText="1" readingOrder="1"/>
    </xf>
    <xf numFmtId="0" fontId="18" fillId="4" borderId="22" xfId="0" applyFont="1" applyFill="1" applyBorder="1" applyAlignment="1">
      <alignment horizontal="center" vertical="center" wrapText="1" readingOrder="1"/>
    </xf>
    <xf numFmtId="0" fontId="10" fillId="0" borderId="22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readingOrder="1"/>
    </xf>
    <xf numFmtId="6" fontId="2" fillId="4" borderId="22" xfId="0" applyNumberFormat="1" applyFont="1" applyFill="1" applyBorder="1" applyAlignment="1">
      <alignment horizontal="center" vertical="center" wrapText="1" readingOrder="1"/>
    </xf>
    <xf numFmtId="6" fontId="14" fillId="4" borderId="22" xfId="0" applyNumberFormat="1" applyFont="1" applyFill="1" applyBorder="1" applyAlignment="1">
      <alignment horizontal="center" vertical="center" wrapText="1" readingOrder="1"/>
    </xf>
    <xf numFmtId="0" fontId="9" fillId="4" borderId="22" xfId="0" applyFont="1" applyFill="1" applyBorder="1" applyAlignment="1">
      <alignment horizontal="center" vertical="center" wrapText="1" readingOrder="1"/>
    </xf>
    <xf numFmtId="0" fontId="18" fillId="0" borderId="22" xfId="0" applyFont="1" applyBorder="1" applyAlignment="1">
      <alignment horizontal="center" vertical="center" wrapText="1" readingOrder="1"/>
    </xf>
    <xf numFmtId="0" fontId="14" fillId="4" borderId="22" xfId="0" applyFont="1" applyFill="1" applyBorder="1" applyAlignment="1">
      <alignment horizontal="center" vertical="center" wrapText="1" readingOrder="1"/>
    </xf>
    <xf numFmtId="14" fontId="2" fillId="0" borderId="22" xfId="0" applyNumberFormat="1" applyFont="1" applyBorder="1" applyAlignment="1">
      <alignment horizontal="center" vertical="center" wrapText="1" readingOrder="1"/>
    </xf>
    <xf numFmtId="0" fontId="8" fillId="0" borderId="22" xfId="0" applyFont="1" applyBorder="1" applyAlignment="1">
      <alignment horizontal="center" vertical="center" wrapText="1" readingOrder="1"/>
    </xf>
    <xf numFmtId="6" fontId="14" fillId="0" borderId="22" xfId="0" applyNumberFormat="1" applyFont="1" applyBorder="1" applyAlignment="1">
      <alignment horizontal="center" vertical="center" wrapText="1" readingOrder="1"/>
    </xf>
    <xf numFmtId="0" fontId="8" fillId="8" borderId="22" xfId="0" applyFont="1" applyFill="1" applyBorder="1" applyAlignment="1">
      <alignment horizontal="center" vertical="center" wrapText="1" readingOrder="1"/>
    </xf>
    <xf numFmtId="165" fontId="12" fillId="4" borderId="22" xfId="0" applyNumberFormat="1" applyFont="1" applyFill="1" applyBorder="1" applyAlignment="1">
      <alignment horizontal="center" vertical="center" wrapText="1" readingOrder="1"/>
    </xf>
    <xf numFmtId="15" fontId="18" fillId="4" borderId="22" xfId="0" applyNumberFormat="1" applyFont="1" applyFill="1" applyBorder="1" applyAlignment="1">
      <alignment horizontal="center" vertical="center" wrapText="1" readingOrder="1"/>
    </xf>
    <xf numFmtId="0" fontId="5" fillId="4" borderId="22" xfId="0" applyFont="1" applyFill="1" applyBorder="1" applyAlignment="1">
      <alignment horizontal="center" vertical="center" wrapText="1" readingOrder="1"/>
    </xf>
    <xf numFmtId="14" fontId="18" fillId="4" borderId="22" xfId="0" applyNumberFormat="1" applyFont="1" applyFill="1" applyBorder="1" applyAlignment="1">
      <alignment horizontal="center" vertical="center" wrapText="1" readingOrder="1"/>
    </xf>
    <xf numFmtId="6" fontId="12" fillId="0" borderId="22" xfId="0" applyNumberFormat="1" applyFont="1" applyBorder="1" applyAlignment="1">
      <alignment horizontal="center" vertical="center" wrapText="1" readingOrder="1"/>
    </xf>
    <xf numFmtId="0" fontId="11" fillId="4" borderId="22" xfId="0" applyFont="1" applyFill="1" applyBorder="1" applyAlignment="1">
      <alignment horizontal="center" vertical="center" wrapText="1" readingOrder="1"/>
    </xf>
    <xf numFmtId="0" fontId="9" fillId="0" borderId="22" xfId="0" applyFont="1" applyBorder="1" applyAlignment="1">
      <alignment horizontal="center" vertical="center" readingOrder="1"/>
    </xf>
    <xf numFmtId="0" fontId="2" fillId="6" borderId="22" xfId="0" applyFont="1" applyFill="1" applyBorder="1" applyAlignment="1">
      <alignment horizontal="center" vertical="center" wrapText="1" readingOrder="1"/>
    </xf>
    <xf numFmtId="14" fontId="2" fillId="4" borderId="22" xfId="0" applyNumberFormat="1" applyFont="1" applyFill="1" applyBorder="1" applyAlignment="1">
      <alignment horizontal="center" vertical="center" readingOrder="1"/>
    </xf>
    <xf numFmtId="3" fontId="2" fillId="4" borderId="22" xfId="0" applyNumberFormat="1" applyFont="1" applyFill="1" applyBorder="1" applyAlignment="1">
      <alignment horizontal="center" vertical="center" wrapText="1" readingOrder="1"/>
    </xf>
    <xf numFmtId="167" fontId="17" fillId="4" borderId="11" xfId="0" applyNumberFormat="1" applyFont="1" applyFill="1" applyBorder="1" applyAlignment="1">
      <alignment horizontal="center" vertical="center" wrapText="1" readingOrder="1"/>
    </xf>
    <xf numFmtId="44" fontId="2" fillId="4" borderId="22" xfId="2" applyFont="1" applyFill="1" applyBorder="1" applyAlignment="1">
      <alignment horizontal="center" vertical="center" wrapText="1" readingOrder="1"/>
    </xf>
    <xf numFmtId="0" fontId="2" fillId="4" borderId="27" xfId="0" applyFont="1" applyFill="1" applyBorder="1" applyAlignment="1">
      <alignment horizontal="center" vertical="center" wrapText="1" readingOrder="1"/>
    </xf>
    <xf numFmtId="0" fontId="2" fillId="4" borderId="28" xfId="0" applyFont="1" applyFill="1" applyBorder="1" applyAlignment="1">
      <alignment horizontal="center" vertical="center" wrapText="1" readingOrder="1"/>
    </xf>
    <xf numFmtId="0" fontId="2" fillId="4" borderId="11" xfId="0" applyFont="1" applyFill="1" applyBorder="1" applyAlignment="1">
      <alignment vertical="center" wrapText="1" readingOrder="1"/>
    </xf>
    <xf numFmtId="0" fontId="2" fillId="4" borderId="12" xfId="0" applyFont="1" applyFill="1" applyBorder="1" applyAlignment="1">
      <alignment vertical="center" wrapText="1" readingOrder="1"/>
    </xf>
    <xf numFmtId="0" fontId="2" fillId="4" borderId="8" xfId="0" applyFont="1" applyFill="1" applyBorder="1" applyAlignment="1">
      <alignment vertical="center" wrapText="1" readingOrder="1"/>
    </xf>
    <xf numFmtId="0" fontId="2" fillId="4" borderId="9" xfId="0" applyFont="1" applyFill="1" applyBorder="1" applyAlignment="1">
      <alignment vertical="center" wrapText="1" readingOrder="1"/>
    </xf>
    <xf numFmtId="0" fontId="2" fillId="4" borderId="22" xfId="0" applyFont="1" applyFill="1" applyBorder="1" applyAlignment="1">
      <alignment vertical="center" wrapText="1" readingOrder="1"/>
    </xf>
    <xf numFmtId="0" fontId="8" fillId="4" borderId="11" xfId="0" applyFont="1" applyFill="1" applyBorder="1" applyAlignment="1">
      <alignment vertical="center" wrapText="1" readingOrder="1"/>
    </xf>
    <xf numFmtId="0" fontId="8" fillId="4" borderId="12" xfId="0" applyFont="1" applyFill="1" applyBorder="1" applyAlignment="1">
      <alignment vertical="center" wrapText="1" readingOrder="1"/>
    </xf>
    <xf numFmtId="166" fontId="12" fillId="4" borderId="11" xfId="2" applyNumberFormat="1" applyFont="1" applyFill="1" applyBorder="1" applyAlignment="1">
      <alignment vertical="center" wrapText="1" readingOrder="1"/>
    </xf>
    <xf numFmtId="0" fontId="10" fillId="0" borderId="20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2" fillId="4" borderId="14" xfId="0" applyFont="1" applyFill="1" applyBorder="1" applyAlignment="1">
      <alignment vertical="center" readingOrder="1"/>
    </xf>
    <xf numFmtId="0" fontId="2" fillId="4" borderId="15" xfId="0" applyFont="1" applyFill="1" applyBorder="1" applyAlignment="1">
      <alignment vertical="center" readingOrder="1"/>
    </xf>
    <xf numFmtId="0" fontId="4" fillId="4" borderId="11" xfId="0" applyFont="1" applyFill="1" applyBorder="1" applyAlignment="1">
      <alignment vertical="center" wrapText="1" readingOrder="1"/>
    </xf>
    <xf numFmtId="0" fontId="2" fillId="4" borderId="11" xfId="0" applyFont="1" applyFill="1" applyBorder="1" applyAlignment="1">
      <alignment vertical="center" readingOrder="1"/>
    </xf>
    <xf numFmtId="0" fontId="2" fillId="4" borderId="12" xfId="0" applyFont="1" applyFill="1" applyBorder="1" applyAlignment="1">
      <alignment vertical="center" readingOrder="1"/>
    </xf>
    <xf numFmtId="0" fontId="18" fillId="4" borderId="11" xfId="0" applyFont="1" applyFill="1" applyBorder="1" applyAlignment="1">
      <alignment vertical="center" wrapText="1" readingOrder="1"/>
    </xf>
    <xf numFmtId="0" fontId="12" fillId="4" borderId="12" xfId="0" applyFont="1" applyFill="1" applyBorder="1" applyAlignment="1">
      <alignment vertical="center" wrapText="1" readingOrder="1"/>
    </xf>
    <xf numFmtId="14" fontId="2" fillId="4" borderId="11" xfId="0" applyNumberFormat="1" applyFont="1" applyFill="1" applyBorder="1" applyAlignment="1">
      <alignment vertical="center" wrapText="1" readingOrder="1"/>
    </xf>
    <xf numFmtId="14" fontId="2" fillId="4" borderId="12" xfId="0" applyNumberFormat="1" applyFont="1" applyFill="1" applyBorder="1" applyAlignment="1">
      <alignment vertical="center" wrapText="1" readingOrder="1"/>
    </xf>
    <xf numFmtId="0" fontId="2" fillId="4" borderId="22" xfId="0" applyFont="1" applyFill="1" applyBorder="1" applyAlignment="1">
      <alignment vertical="center" readingOrder="1"/>
    </xf>
    <xf numFmtId="0" fontId="12" fillId="4" borderId="22" xfId="0" applyFont="1" applyFill="1" applyBorder="1" applyAlignment="1">
      <alignment vertical="center" wrapText="1" readingOrder="1"/>
    </xf>
    <xf numFmtId="0" fontId="18" fillId="4" borderId="22" xfId="0" applyFont="1" applyFill="1" applyBorder="1" applyAlignment="1">
      <alignment vertical="center" readingOrder="1"/>
    </xf>
    <xf numFmtId="0" fontId="10" fillId="0" borderId="22" xfId="0" applyFont="1" applyBorder="1" applyAlignment="1">
      <alignment vertical="center"/>
    </xf>
    <xf numFmtId="0" fontId="8" fillId="4" borderId="22" xfId="0" applyFont="1" applyFill="1" applyBorder="1" applyAlignment="1">
      <alignment vertical="center" wrapText="1" readingOrder="1"/>
    </xf>
    <xf numFmtId="6" fontId="12" fillId="4" borderId="22" xfId="0" applyNumberFormat="1" applyFont="1" applyFill="1" applyBorder="1" applyAlignment="1">
      <alignment vertical="center" wrapText="1" readingOrder="1"/>
    </xf>
    <xf numFmtId="14" fontId="2" fillId="4" borderId="22" xfId="0" applyNumberFormat="1" applyFont="1" applyFill="1" applyBorder="1" applyAlignment="1">
      <alignment vertical="center" wrapText="1" readingOrder="1"/>
    </xf>
    <xf numFmtId="0" fontId="18" fillId="4" borderId="22" xfId="0" applyFont="1" applyFill="1" applyBorder="1" applyAlignment="1">
      <alignment vertical="center" wrapText="1" readingOrder="1"/>
    </xf>
    <xf numFmtId="0" fontId="15" fillId="4" borderId="22" xfId="0" applyFont="1" applyFill="1" applyBorder="1" applyAlignment="1">
      <alignment vertical="center" wrapText="1" readingOrder="1"/>
    </xf>
    <xf numFmtId="0" fontId="2" fillId="0" borderId="22" xfId="0" applyFont="1" applyBorder="1" applyAlignment="1">
      <alignment vertical="center" wrapText="1" readingOrder="1"/>
    </xf>
    <xf numFmtId="6" fontId="2" fillId="4" borderId="22" xfId="0" applyNumberFormat="1" applyFont="1" applyFill="1" applyBorder="1" applyAlignment="1">
      <alignment vertical="center" wrapText="1" readingOrder="1"/>
    </xf>
    <xf numFmtId="6" fontId="14" fillId="4" borderId="22" xfId="0" applyNumberFormat="1" applyFont="1" applyFill="1" applyBorder="1" applyAlignment="1">
      <alignment vertical="center" wrapText="1" readingOrder="1"/>
    </xf>
    <xf numFmtId="6" fontId="9" fillId="4" borderId="11" xfId="0" applyNumberFormat="1" applyFont="1" applyFill="1" applyBorder="1" applyAlignment="1">
      <alignment vertical="center" wrapText="1" readingOrder="1"/>
    </xf>
    <xf numFmtId="6" fontId="2" fillId="4" borderId="0" xfId="0" applyNumberFormat="1" applyFont="1" applyFill="1" applyAlignment="1">
      <alignment vertical="center" wrapText="1" readingOrder="1"/>
    </xf>
    <xf numFmtId="6" fontId="9" fillId="4" borderId="12" xfId="0" applyNumberFormat="1" applyFont="1" applyFill="1" applyBorder="1" applyAlignment="1">
      <alignment vertical="center" wrapText="1" readingOrder="1"/>
    </xf>
    <xf numFmtId="0" fontId="2" fillId="7" borderId="15" xfId="0" applyFont="1" applyFill="1" applyBorder="1" applyAlignment="1">
      <alignment vertical="center" readingOrder="1"/>
    </xf>
    <xf numFmtId="0" fontId="10" fillId="0" borderId="22" xfId="0" applyFont="1" applyBorder="1" applyAlignment="1">
      <alignment vertical="center" wrapText="1"/>
    </xf>
    <xf numFmtId="10" fontId="2" fillId="4" borderId="22" xfId="0" applyNumberFormat="1" applyFont="1" applyFill="1" applyBorder="1" applyAlignment="1">
      <alignment vertical="center" wrapText="1" readingOrder="1"/>
    </xf>
    <xf numFmtId="0" fontId="2" fillId="0" borderId="12" xfId="0" applyFont="1" applyBorder="1" applyAlignment="1">
      <alignment vertical="center" wrapText="1" readingOrder="1"/>
    </xf>
    <xf numFmtId="6" fontId="17" fillId="4" borderId="12" xfId="0" applyNumberFormat="1" applyFont="1" applyFill="1" applyBorder="1" applyAlignment="1">
      <alignment vertical="center" wrapText="1" readingOrder="1"/>
    </xf>
    <xf numFmtId="0" fontId="2" fillId="4" borderId="27" xfId="0" applyFont="1" applyFill="1" applyBorder="1" applyAlignment="1">
      <alignment vertical="center" wrapText="1" readingOrder="1"/>
    </xf>
    <xf numFmtId="8" fontId="2" fillId="4" borderId="23" xfId="0" applyNumberFormat="1" applyFont="1" applyFill="1" applyBorder="1" applyAlignment="1">
      <alignment vertical="center" wrapText="1" readingOrder="1"/>
    </xf>
    <xf numFmtId="8" fontId="2" fillId="4" borderId="24" xfId="0" applyNumberFormat="1" applyFont="1" applyFill="1" applyBorder="1" applyAlignment="1">
      <alignment vertical="center" wrapText="1" readingOrder="1"/>
    </xf>
    <xf numFmtId="3" fontId="12" fillId="4" borderId="22" xfId="0" applyNumberFormat="1" applyFont="1" applyFill="1" applyBorder="1" applyAlignment="1">
      <alignment vertical="center" wrapText="1" readingOrder="1"/>
    </xf>
    <xf numFmtId="0" fontId="9" fillId="4" borderId="22" xfId="0" applyFont="1" applyFill="1" applyBorder="1" applyAlignment="1">
      <alignment vertical="center" wrapText="1" readingOrder="1"/>
    </xf>
    <xf numFmtId="0" fontId="2" fillId="5" borderId="22" xfId="0" applyFont="1" applyFill="1" applyBorder="1" applyAlignment="1">
      <alignment vertical="center" wrapText="1" readingOrder="1"/>
    </xf>
    <xf numFmtId="0" fontId="5" fillId="4" borderId="22" xfId="0" applyFont="1" applyFill="1" applyBorder="1" applyAlignment="1">
      <alignment vertical="center" wrapText="1" readingOrder="1"/>
    </xf>
    <xf numFmtId="14" fontId="2" fillId="4" borderId="22" xfId="0" applyNumberFormat="1" applyFont="1" applyFill="1" applyBorder="1" applyAlignment="1">
      <alignment vertical="center" readingOrder="1"/>
    </xf>
    <xf numFmtId="6" fontId="2" fillId="4" borderId="23" xfId="0" applyNumberFormat="1" applyFont="1" applyFill="1" applyBorder="1" applyAlignment="1">
      <alignment vertical="center" wrapText="1" readingOrder="1"/>
    </xf>
    <xf numFmtId="6" fontId="2" fillId="4" borderId="24" xfId="0" applyNumberFormat="1" applyFont="1" applyFill="1" applyBorder="1" applyAlignment="1">
      <alignment vertical="center" wrapText="1" readingOrder="1"/>
    </xf>
    <xf numFmtId="6" fontId="2" fillId="4" borderId="29" xfId="0" applyNumberFormat="1" applyFont="1" applyFill="1" applyBorder="1" applyAlignment="1">
      <alignment vertical="center" wrapText="1" readingOrder="1"/>
    </xf>
    <xf numFmtId="6" fontId="2" fillId="4" borderId="30" xfId="0" applyNumberFormat="1" applyFont="1" applyFill="1" applyBorder="1" applyAlignment="1">
      <alignment vertical="center" wrapText="1" readingOrder="1"/>
    </xf>
    <xf numFmtId="43" fontId="10" fillId="0" borderId="22" xfId="0" applyNumberFormat="1" applyFont="1" applyBorder="1" applyAlignment="1">
      <alignment vertical="center"/>
    </xf>
    <xf numFmtId="0" fontId="4" fillId="0" borderId="22" xfId="0" applyFont="1" applyBorder="1" applyAlignment="1">
      <alignment vertical="center" wrapText="1"/>
    </xf>
    <xf numFmtId="43" fontId="10" fillId="0" borderId="22" xfId="0" applyNumberFormat="1" applyFont="1" applyBorder="1" applyAlignment="1">
      <alignment horizontal="center" vertical="center" wrapText="1"/>
    </xf>
    <xf numFmtId="6" fontId="2" fillId="4" borderId="21" xfId="0" applyNumberFormat="1" applyFont="1" applyFill="1" applyBorder="1" applyAlignment="1">
      <alignment horizontal="center" vertical="center" wrapText="1" readingOrder="1"/>
    </xf>
    <xf numFmtId="6" fontId="2" fillId="4" borderId="26" xfId="0" applyNumberFormat="1" applyFont="1" applyFill="1" applyBorder="1" applyAlignment="1">
      <alignment horizontal="center" vertical="center" wrapText="1" readingOrder="1"/>
    </xf>
    <xf numFmtId="6" fontId="2" fillId="4" borderId="11" xfId="0" applyNumberFormat="1" applyFont="1" applyFill="1" applyBorder="1" applyAlignment="1">
      <alignment horizontal="center" vertical="center" wrapText="1" readingOrder="1"/>
    </xf>
    <xf numFmtId="6" fontId="2" fillId="4" borderId="13" xfId="0" applyNumberFormat="1" applyFont="1" applyFill="1" applyBorder="1" applyAlignment="1">
      <alignment horizontal="center" vertical="center" wrapText="1" readingOrder="1"/>
    </xf>
    <xf numFmtId="0" fontId="1" fillId="9" borderId="1" xfId="0" applyFont="1" applyFill="1" applyBorder="1" applyAlignment="1">
      <alignment horizontal="center" vertical="center" wrapText="1" readingOrder="1"/>
    </xf>
    <xf numFmtId="0" fontId="1" fillId="9" borderId="2" xfId="0" applyFont="1" applyFill="1" applyBorder="1" applyAlignment="1">
      <alignment horizontal="center" vertical="center" wrapText="1" readingOrder="1"/>
    </xf>
    <xf numFmtId="0" fontId="1" fillId="9" borderId="17" xfId="0" applyFont="1" applyFill="1" applyBorder="1" applyAlignment="1">
      <alignment horizontal="center" vertical="center" wrapText="1" readingOrder="1"/>
    </xf>
    <xf numFmtId="166" fontId="10" fillId="4" borderId="11" xfId="2" applyNumberFormat="1" applyFont="1" applyFill="1" applyBorder="1" applyAlignment="1">
      <alignment vertical="center" wrapText="1" readingOrder="1"/>
    </xf>
    <xf numFmtId="6" fontId="10" fillId="4" borderId="22" xfId="0" applyNumberFormat="1" applyFont="1" applyFill="1" applyBorder="1" applyAlignment="1">
      <alignment horizontal="center" vertical="center" wrapText="1" readingOrder="1"/>
    </xf>
    <xf numFmtId="9" fontId="10" fillId="4" borderId="11" xfId="3" applyFont="1" applyFill="1" applyBorder="1" applyAlignment="1">
      <alignment vertical="center" wrapText="1" readingOrder="1"/>
    </xf>
    <xf numFmtId="9" fontId="10" fillId="4" borderId="11" xfId="3" applyFont="1" applyFill="1" applyBorder="1" applyAlignment="1">
      <alignment horizontal="center" vertical="center" wrapText="1" readingOrder="1"/>
    </xf>
    <xf numFmtId="9" fontId="10" fillId="4" borderId="22" xfId="3" applyFont="1" applyFill="1" applyBorder="1" applyAlignment="1">
      <alignment vertical="center" wrapText="1" readingOrder="1"/>
    </xf>
    <xf numFmtId="9" fontId="10" fillId="4" borderId="22" xfId="3" applyFont="1" applyFill="1" applyBorder="1" applyAlignment="1">
      <alignment horizontal="center" vertical="center" wrapText="1" readingOrder="1"/>
    </xf>
    <xf numFmtId="9" fontId="10" fillId="4" borderId="12" xfId="3" applyFont="1" applyFill="1" applyBorder="1" applyAlignment="1">
      <alignment horizontal="center" vertical="center" wrapText="1" readingOrder="1"/>
    </xf>
    <xf numFmtId="9" fontId="10" fillId="4" borderId="13" xfId="3" applyFont="1" applyFill="1" applyBorder="1" applyAlignment="1">
      <alignment horizontal="center" vertical="center" wrapText="1" readingOrder="1"/>
    </xf>
    <xf numFmtId="9" fontId="10" fillId="0" borderId="22" xfId="3" applyFont="1" applyBorder="1" applyAlignment="1">
      <alignment horizontal="center" vertical="center" wrapText="1" readingOrder="1"/>
    </xf>
    <xf numFmtId="9" fontId="10" fillId="4" borderId="12" xfId="3" applyFont="1" applyFill="1" applyBorder="1" applyAlignment="1">
      <alignment vertical="center" wrapText="1" readingOrder="1"/>
    </xf>
  </cellXfs>
  <cellStyles count="4">
    <cellStyle name="Hyperlink" xfId="1" xr:uid="{00000000-000B-0000-0000-000008000000}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FC000"/>
  </sheetPr>
  <dimension ref="A1:AA129"/>
  <sheetViews>
    <sheetView tabSelected="1" workbookViewId="0">
      <pane xSplit="1" ySplit="2" topLeftCell="B117" activePane="bottomRight" state="frozen"/>
      <selection pane="topRight"/>
      <selection pane="bottomLeft"/>
      <selection pane="bottomRight" activeCell="O126" sqref="O126"/>
    </sheetView>
  </sheetViews>
  <sheetFormatPr baseColWidth="10" defaultColWidth="11.42578125" defaultRowHeight="12" x14ac:dyDescent="0.2"/>
  <cols>
    <col min="1" max="1" width="11.42578125" style="9"/>
    <col min="2" max="2" width="11.42578125" style="9" customWidth="1"/>
    <col min="3" max="4" width="26.42578125" style="9" customWidth="1"/>
    <col min="5" max="5" width="33.42578125" style="9" customWidth="1"/>
    <col min="6" max="6" width="19.140625" style="9" customWidth="1"/>
    <col min="7" max="7" width="11.42578125" style="9" customWidth="1"/>
    <col min="8" max="8" width="15.85546875" style="9" hidden="1" customWidth="1"/>
    <col min="9" max="9" width="29.140625" style="9" customWidth="1"/>
    <col min="10" max="10" width="11.42578125" style="9" customWidth="1"/>
    <col min="11" max="11" width="23.85546875" style="9" customWidth="1"/>
    <col min="12" max="14" width="15.140625" style="9" customWidth="1"/>
    <col min="15" max="15" width="19.42578125" style="9" customWidth="1"/>
    <col min="16" max="16" width="15.42578125" style="9" customWidth="1"/>
    <col min="17" max="17" width="14.85546875" style="16" customWidth="1"/>
    <col min="18" max="18" width="13.42578125" style="16" customWidth="1"/>
    <col min="19" max="19" width="11.42578125" style="16" customWidth="1"/>
    <col min="20" max="20" width="11.42578125" style="9" customWidth="1"/>
    <col min="21" max="21" width="11.42578125" style="9"/>
    <col min="22" max="22" width="30.85546875" style="9" customWidth="1"/>
    <col min="23" max="23" width="11.42578125" style="9"/>
    <col min="24" max="24" width="28.7109375" style="44" customWidth="1"/>
    <col min="25" max="25" width="14.28515625" style="9" customWidth="1"/>
    <col min="26" max="26" width="13.5703125" style="9" customWidth="1"/>
    <col min="27" max="16384" width="11.42578125" style="9"/>
  </cols>
  <sheetData>
    <row r="1" spans="1:24" ht="18" customHeight="1" x14ac:dyDescent="0.2">
      <c r="A1" s="195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7"/>
      <c r="P1" s="6"/>
      <c r="Q1" s="6"/>
      <c r="R1" s="6"/>
      <c r="S1" s="6"/>
      <c r="T1" s="6"/>
      <c r="U1" s="6"/>
      <c r="V1" s="6"/>
      <c r="W1" s="7"/>
      <c r="X1" s="8"/>
    </row>
    <row r="2" spans="1:24" ht="36" x14ac:dyDescent="0.2">
      <c r="A2" s="72" t="s">
        <v>1</v>
      </c>
      <c r="B2" s="73" t="s">
        <v>2</v>
      </c>
      <c r="C2" s="73" t="s">
        <v>3</v>
      </c>
      <c r="D2" s="73" t="s">
        <v>473</v>
      </c>
      <c r="E2" s="73" t="s">
        <v>4</v>
      </c>
      <c r="F2" s="73" t="s">
        <v>5</v>
      </c>
      <c r="G2" s="73" t="s">
        <v>6</v>
      </c>
      <c r="H2" s="1" t="s">
        <v>7</v>
      </c>
      <c r="I2" s="73" t="s">
        <v>8</v>
      </c>
      <c r="J2" s="73" t="s">
        <v>9</v>
      </c>
      <c r="K2" s="74" t="s">
        <v>10</v>
      </c>
      <c r="L2" s="73" t="s">
        <v>11</v>
      </c>
      <c r="M2" s="73" t="s">
        <v>502</v>
      </c>
      <c r="N2" s="73" t="s">
        <v>503</v>
      </c>
      <c r="O2" s="73" t="s">
        <v>12</v>
      </c>
      <c r="P2" s="75" t="s">
        <v>13</v>
      </c>
      <c r="Q2" s="75" t="s">
        <v>14</v>
      </c>
      <c r="R2" s="75" t="s">
        <v>15</v>
      </c>
      <c r="S2" s="75" t="s">
        <v>16</v>
      </c>
      <c r="T2" s="75" t="s">
        <v>17</v>
      </c>
      <c r="U2" s="75" t="s">
        <v>18</v>
      </c>
      <c r="V2" s="75" t="s">
        <v>19</v>
      </c>
      <c r="W2" s="2" t="s">
        <v>20</v>
      </c>
      <c r="X2" s="10" t="s">
        <v>21</v>
      </c>
    </row>
    <row r="3" spans="1:24" s="16" customFormat="1" ht="39" customHeight="1" x14ac:dyDescent="0.25">
      <c r="A3" s="139">
        <v>940000001</v>
      </c>
      <c r="B3" s="137" t="s">
        <v>22</v>
      </c>
      <c r="C3" s="137" t="s">
        <v>23</v>
      </c>
      <c r="D3" s="3" t="s">
        <v>474</v>
      </c>
      <c r="E3" s="3" t="s">
        <v>24</v>
      </c>
      <c r="F3" s="3"/>
      <c r="G3" s="3">
        <v>13119</v>
      </c>
      <c r="H3" s="12">
        <v>3499535</v>
      </c>
      <c r="I3" s="137" t="s">
        <v>25</v>
      </c>
      <c r="J3" s="137">
        <v>42094326</v>
      </c>
      <c r="K3" s="142" t="s">
        <v>26</v>
      </c>
      <c r="L3" s="144">
        <v>4880357</v>
      </c>
      <c r="M3" s="200">
        <v>0.33</v>
      </c>
      <c r="N3" s="198">
        <f>L3*M3</f>
        <v>1610517.81</v>
      </c>
      <c r="O3" s="137" t="s">
        <v>27</v>
      </c>
      <c r="P3" s="137" t="s">
        <v>28</v>
      </c>
      <c r="Q3" s="154">
        <v>42600</v>
      </c>
      <c r="R3" s="154">
        <v>46617</v>
      </c>
      <c r="S3" s="152" t="s">
        <v>29</v>
      </c>
      <c r="T3" s="137" t="s">
        <v>30</v>
      </c>
      <c r="U3" s="150" t="s">
        <v>31</v>
      </c>
      <c r="V3" s="149" t="s">
        <v>32</v>
      </c>
      <c r="W3" s="147" t="s">
        <v>33</v>
      </c>
      <c r="X3" s="145" t="s">
        <v>34</v>
      </c>
    </row>
    <row r="4" spans="1:24" s="16" customFormat="1" ht="12" customHeight="1" x14ac:dyDescent="0.25">
      <c r="A4" s="139">
        <v>940000001</v>
      </c>
      <c r="B4" s="137" t="s">
        <v>22</v>
      </c>
      <c r="C4" s="137" t="s">
        <v>23</v>
      </c>
      <c r="D4" s="3" t="s">
        <v>474</v>
      </c>
      <c r="E4" s="17" t="s">
        <v>35</v>
      </c>
      <c r="F4" s="17"/>
      <c r="G4" s="17">
        <v>11503</v>
      </c>
      <c r="H4" s="18">
        <v>194419</v>
      </c>
      <c r="I4" s="137" t="s">
        <v>25</v>
      </c>
      <c r="J4" s="137">
        <v>42094326</v>
      </c>
      <c r="K4" s="142" t="s">
        <v>26</v>
      </c>
      <c r="L4" s="144">
        <v>4880357</v>
      </c>
      <c r="M4" s="200">
        <v>0.33</v>
      </c>
      <c r="N4" s="198">
        <f t="shared" ref="N4:N67" si="0">L4*M4</f>
        <v>1610517.81</v>
      </c>
      <c r="O4" s="137" t="s">
        <v>27</v>
      </c>
      <c r="P4" s="137" t="s">
        <v>28</v>
      </c>
      <c r="Q4" s="154">
        <v>42600</v>
      </c>
      <c r="R4" s="154">
        <v>46617</v>
      </c>
      <c r="S4" s="152" t="s">
        <v>29</v>
      </c>
      <c r="T4" s="137" t="s">
        <v>30</v>
      </c>
      <c r="U4" s="150" t="s">
        <v>31</v>
      </c>
      <c r="V4" s="149" t="s">
        <v>32</v>
      </c>
      <c r="W4" s="147" t="s">
        <v>33</v>
      </c>
      <c r="X4" s="145" t="s">
        <v>34</v>
      </c>
    </row>
    <row r="5" spans="1:24" s="16" customFormat="1" ht="12" customHeight="1" x14ac:dyDescent="0.25">
      <c r="A5" s="139">
        <v>940000001</v>
      </c>
      <c r="B5" s="137" t="s">
        <v>22</v>
      </c>
      <c r="C5" s="137" t="s">
        <v>23</v>
      </c>
      <c r="D5" s="3" t="s">
        <v>474</v>
      </c>
      <c r="E5" s="21" t="s">
        <v>36</v>
      </c>
      <c r="F5" s="21"/>
      <c r="G5" s="21">
        <v>13316</v>
      </c>
      <c r="H5" s="22">
        <v>194419</v>
      </c>
      <c r="I5" s="137" t="s">
        <v>25</v>
      </c>
      <c r="J5" s="137">
        <v>42094326</v>
      </c>
      <c r="K5" s="142" t="s">
        <v>26</v>
      </c>
      <c r="L5" s="144">
        <v>4880357</v>
      </c>
      <c r="M5" s="200">
        <v>0.33</v>
      </c>
      <c r="N5" s="198">
        <f t="shared" si="0"/>
        <v>1610517.81</v>
      </c>
      <c r="O5" s="137" t="s">
        <v>27</v>
      </c>
      <c r="P5" s="137" t="s">
        <v>28</v>
      </c>
      <c r="Q5" s="154">
        <v>42600</v>
      </c>
      <c r="R5" s="154">
        <v>46617</v>
      </c>
      <c r="S5" s="152" t="s">
        <v>29</v>
      </c>
      <c r="T5" s="137" t="s">
        <v>30</v>
      </c>
      <c r="U5" s="150" t="s">
        <v>31</v>
      </c>
      <c r="V5" s="149" t="s">
        <v>32</v>
      </c>
      <c r="W5" s="147" t="s">
        <v>33</v>
      </c>
      <c r="X5" s="145" t="s">
        <v>34</v>
      </c>
    </row>
    <row r="6" spans="1:24" s="16" customFormat="1" ht="60" x14ac:dyDescent="0.25">
      <c r="A6" s="11" t="s">
        <v>37</v>
      </c>
      <c r="B6" s="3" t="s">
        <v>38</v>
      </c>
      <c r="C6" s="3" t="s">
        <v>39</v>
      </c>
      <c r="D6" s="3" t="s">
        <v>475</v>
      </c>
      <c r="E6" s="3" t="s">
        <v>40</v>
      </c>
      <c r="F6" s="3" t="s">
        <v>41</v>
      </c>
      <c r="G6" s="3">
        <v>8985</v>
      </c>
      <c r="H6" s="26">
        <v>2264400</v>
      </c>
      <c r="I6" s="3" t="s">
        <v>42</v>
      </c>
      <c r="J6" s="3">
        <v>52532447</v>
      </c>
      <c r="K6" s="13" t="s">
        <v>43</v>
      </c>
      <c r="L6" s="133">
        <v>2532074</v>
      </c>
      <c r="M6" s="201">
        <v>1</v>
      </c>
      <c r="N6" s="198">
        <f t="shared" si="0"/>
        <v>2532074</v>
      </c>
      <c r="O6" s="3" t="s">
        <v>27</v>
      </c>
      <c r="P6" s="3" t="s">
        <v>44</v>
      </c>
      <c r="Q6" s="3" t="s">
        <v>45</v>
      </c>
      <c r="R6" s="3" t="s">
        <v>46</v>
      </c>
      <c r="S6" s="63" t="s">
        <v>46</v>
      </c>
      <c r="T6" s="15" t="s">
        <v>47</v>
      </c>
      <c r="U6" s="3" t="s">
        <v>48</v>
      </c>
      <c r="V6" s="40" t="s">
        <v>49</v>
      </c>
      <c r="W6" s="4" t="s">
        <v>50</v>
      </c>
      <c r="X6" s="29"/>
    </row>
    <row r="7" spans="1:24" s="16" customFormat="1" ht="44.25" customHeight="1" x14ac:dyDescent="0.25">
      <c r="A7" s="141" t="s">
        <v>37</v>
      </c>
      <c r="B7" s="141" t="s">
        <v>51</v>
      </c>
      <c r="C7" s="101" t="s">
        <v>52</v>
      </c>
      <c r="D7" s="101" t="s">
        <v>488</v>
      </c>
      <c r="E7" s="141" t="s">
        <v>53</v>
      </c>
      <c r="F7" s="101" t="s">
        <v>54</v>
      </c>
      <c r="G7" s="141">
        <v>27028</v>
      </c>
      <c r="H7" s="184">
        <v>300000</v>
      </c>
      <c r="I7" s="141" t="s">
        <v>55</v>
      </c>
      <c r="J7" s="141">
        <v>890000464</v>
      </c>
      <c r="K7" s="160" t="s">
        <v>56</v>
      </c>
      <c r="L7" s="161">
        <v>382623</v>
      </c>
      <c r="M7" s="202">
        <v>0.5</v>
      </c>
      <c r="N7" s="198">
        <f t="shared" si="0"/>
        <v>191311.5</v>
      </c>
      <c r="O7" s="141" t="s">
        <v>27</v>
      </c>
      <c r="P7" s="141" t="s">
        <v>44</v>
      </c>
      <c r="Q7" s="183"/>
      <c r="R7" s="183"/>
      <c r="S7" s="158" t="s">
        <v>57</v>
      </c>
      <c r="T7" s="156" t="s">
        <v>58</v>
      </c>
      <c r="U7" s="141" t="s">
        <v>48</v>
      </c>
      <c r="V7" s="157" t="s">
        <v>59</v>
      </c>
      <c r="W7" s="156" t="s">
        <v>33</v>
      </c>
      <c r="X7" s="159"/>
    </row>
    <row r="8" spans="1:24" s="16" customFormat="1" ht="22.5" customHeight="1" x14ac:dyDescent="0.25">
      <c r="A8" s="141" t="s">
        <v>37</v>
      </c>
      <c r="B8" s="141" t="s">
        <v>51</v>
      </c>
      <c r="C8" s="101" t="s">
        <v>60</v>
      </c>
      <c r="D8" s="101" t="s">
        <v>488</v>
      </c>
      <c r="E8" s="141" t="s">
        <v>53</v>
      </c>
      <c r="F8" s="101"/>
      <c r="G8" s="141">
        <v>27028</v>
      </c>
      <c r="H8" s="185"/>
      <c r="I8" s="141" t="s">
        <v>55</v>
      </c>
      <c r="J8" s="141">
        <v>890000464</v>
      </c>
      <c r="K8" s="160" t="s">
        <v>56</v>
      </c>
      <c r="L8" s="161">
        <v>382623</v>
      </c>
      <c r="M8" s="202">
        <v>0.5</v>
      </c>
      <c r="N8" s="198">
        <f t="shared" si="0"/>
        <v>191311.5</v>
      </c>
      <c r="O8" s="141" t="s">
        <v>27</v>
      </c>
      <c r="P8" s="141" t="s">
        <v>44</v>
      </c>
      <c r="Q8" s="183"/>
      <c r="R8" s="183"/>
      <c r="S8" s="158" t="s">
        <v>57</v>
      </c>
      <c r="T8" s="156" t="s">
        <v>58</v>
      </c>
      <c r="U8" s="141" t="s">
        <v>48</v>
      </c>
      <c r="V8" s="157" t="s">
        <v>59</v>
      </c>
      <c r="W8" s="156" t="s">
        <v>33</v>
      </c>
      <c r="X8" s="159"/>
    </row>
    <row r="9" spans="1:24" s="16" customFormat="1" ht="22.5" customHeight="1" x14ac:dyDescent="0.25">
      <c r="A9" s="141" t="s">
        <v>37</v>
      </c>
      <c r="B9" s="141" t="s">
        <v>51</v>
      </c>
      <c r="C9" s="141" t="s">
        <v>61</v>
      </c>
      <c r="D9" s="135" t="s">
        <v>476</v>
      </c>
      <c r="E9" s="102" t="s">
        <v>40</v>
      </c>
      <c r="F9" s="102" t="s">
        <v>62</v>
      </c>
      <c r="G9" s="101">
        <v>27022</v>
      </c>
      <c r="H9" s="76">
        <v>1876474</v>
      </c>
      <c r="I9" s="141" t="s">
        <v>63</v>
      </c>
      <c r="J9" s="141">
        <v>890705534</v>
      </c>
      <c r="K9" s="160" t="s">
        <v>64</v>
      </c>
      <c r="L9" s="161">
        <v>11336647</v>
      </c>
      <c r="M9" s="202">
        <v>0.5</v>
      </c>
      <c r="N9" s="198">
        <f t="shared" si="0"/>
        <v>5668323.5</v>
      </c>
      <c r="O9" s="141" t="s">
        <v>27</v>
      </c>
      <c r="P9" s="141" t="s">
        <v>65</v>
      </c>
      <c r="Q9" s="162">
        <v>40224</v>
      </c>
      <c r="R9" s="162">
        <v>46433</v>
      </c>
      <c r="S9" s="163" t="s">
        <v>66</v>
      </c>
      <c r="T9" s="164">
        <v>396655</v>
      </c>
      <c r="U9" s="156" t="s">
        <v>31</v>
      </c>
      <c r="V9" s="156" t="s">
        <v>67</v>
      </c>
      <c r="W9" s="156" t="s">
        <v>33</v>
      </c>
      <c r="X9" s="112" t="s">
        <v>34</v>
      </c>
    </row>
    <row r="10" spans="1:24" s="16" customFormat="1" ht="12" customHeight="1" x14ac:dyDescent="0.25">
      <c r="A10" s="141" t="s">
        <v>37</v>
      </c>
      <c r="B10" s="141" t="s">
        <v>51</v>
      </c>
      <c r="C10" s="141" t="s">
        <v>61</v>
      </c>
      <c r="D10" s="136" t="s">
        <v>476</v>
      </c>
      <c r="E10" s="102" t="s">
        <v>68</v>
      </c>
      <c r="F10" s="102"/>
      <c r="G10" s="101">
        <v>27001</v>
      </c>
      <c r="H10" s="77">
        <v>7505893</v>
      </c>
      <c r="I10" s="141" t="s">
        <v>63</v>
      </c>
      <c r="J10" s="141">
        <v>890705534</v>
      </c>
      <c r="K10" s="160" t="s">
        <v>64</v>
      </c>
      <c r="L10" s="161">
        <v>11336647</v>
      </c>
      <c r="M10" s="202">
        <v>0.5</v>
      </c>
      <c r="N10" s="198">
        <f t="shared" si="0"/>
        <v>5668323.5</v>
      </c>
      <c r="O10" s="141" t="s">
        <v>27</v>
      </c>
      <c r="P10" s="141" t="s">
        <v>65</v>
      </c>
      <c r="Q10" s="162">
        <v>40224</v>
      </c>
      <c r="R10" s="162">
        <v>46433</v>
      </c>
      <c r="S10" s="163" t="s">
        <v>66</v>
      </c>
      <c r="T10" s="164">
        <v>396655</v>
      </c>
      <c r="U10" s="156" t="s">
        <v>31</v>
      </c>
      <c r="V10" s="156" t="s">
        <v>67</v>
      </c>
      <c r="W10" s="156" t="s">
        <v>33</v>
      </c>
      <c r="X10" s="112" t="s">
        <v>34</v>
      </c>
    </row>
    <row r="11" spans="1:24" s="16" customFormat="1" ht="60" x14ac:dyDescent="0.25">
      <c r="A11" s="101" t="s">
        <v>37</v>
      </c>
      <c r="B11" s="101" t="s">
        <v>51</v>
      </c>
      <c r="C11" s="101" t="s">
        <v>69</v>
      </c>
      <c r="D11" s="101" t="s">
        <v>477</v>
      </c>
      <c r="E11" s="101" t="s">
        <v>68</v>
      </c>
      <c r="F11" s="102" t="s">
        <v>62</v>
      </c>
      <c r="G11" s="101">
        <v>27001</v>
      </c>
      <c r="H11" s="78">
        <v>158942650</v>
      </c>
      <c r="I11" s="101" t="s">
        <v>70</v>
      </c>
      <c r="J11" s="101">
        <v>860043345</v>
      </c>
      <c r="K11" s="103" t="s">
        <v>71</v>
      </c>
      <c r="L11" s="104">
        <v>198572787</v>
      </c>
      <c r="M11" s="203">
        <v>1</v>
      </c>
      <c r="N11" s="198">
        <f t="shared" si="0"/>
        <v>198572787</v>
      </c>
      <c r="O11" s="101" t="s">
        <v>27</v>
      </c>
      <c r="P11" s="101" t="s">
        <v>72</v>
      </c>
      <c r="Q11" s="110">
        <v>44243</v>
      </c>
      <c r="R11" s="110">
        <v>47895</v>
      </c>
      <c r="S11" s="111" t="s">
        <v>66</v>
      </c>
      <c r="T11" s="105" t="s">
        <v>73</v>
      </c>
      <c r="U11" s="105" t="s">
        <v>31</v>
      </c>
      <c r="V11" s="101" t="s">
        <v>74</v>
      </c>
      <c r="W11" s="113" t="s">
        <v>33</v>
      </c>
      <c r="X11" s="112" t="s">
        <v>75</v>
      </c>
    </row>
    <row r="12" spans="1:24" s="16" customFormat="1" ht="36" x14ac:dyDescent="0.25">
      <c r="A12" s="101" t="s">
        <v>37</v>
      </c>
      <c r="B12" s="101" t="s">
        <v>51</v>
      </c>
      <c r="C12" s="101" t="s">
        <v>69</v>
      </c>
      <c r="D12" s="101" t="s">
        <v>477</v>
      </c>
      <c r="E12" s="101" t="s">
        <v>68</v>
      </c>
      <c r="F12" s="102" t="s">
        <v>62</v>
      </c>
      <c r="G12" s="101">
        <v>27001</v>
      </c>
      <c r="H12" s="79"/>
      <c r="I12" s="101" t="s">
        <v>76</v>
      </c>
      <c r="J12" s="101">
        <v>860043345</v>
      </c>
      <c r="K12" s="103" t="s">
        <v>71</v>
      </c>
      <c r="L12" s="114">
        <v>550</v>
      </c>
      <c r="M12" s="203">
        <v>1</v>
      </c>
      <c r="N12" s="198">
        <f t="shared" si="0"/>
        <v>550</v>
      </c>
      <c r="O12" s="101" t="s">
        <v>27</v>
      </c>
      <c r="P12" s="101" t="s">
        <v>77</v>
      </c>
      <c r="Q12" s="131"/>
      <c r="R12" s="131"/>
      <c r="S12" s="105"/>
      <c r="T12" s="105"/>
      <c r="U12" s="105"/>
      <c r="V12" s="105"/>
      <c r="W12" s="113" t="s">
        <v>33</v>
      </c>
      <c r="X12" s="108"/>
    </row>
    <row r="13" spans="1:24" s="16" customFormat="1" ht="36" x14ac:dyDescent="0.25">
      <c r="A13" s="101" t="s">
        <v>37</v>
      </c>
      <c r="B13" s="101" t="s">
        <v>51</v>
      </c>
      <c r="C13" s="101" t="s">
        <v>78</v>
      </c>
      <c r="D13" s="101" t="s">
        <v>475</v>
      </c>
      <c r="E13" s="101" t="s">
        <v>79</v>
      </c>
      <c r="F13" s="101" t="s">
        <v>80</v>
      </c>
      <c r="G13" s="101">
        <v>11348</v>
      </c>
      <c r="H13" s="78">
        <v>118024502</v>
      </c>
      <c r="I13" s="101" t="s">
        <v>81</v>
      </c>
      <c r="J13" s="101">
        <v>901309679</v>
      </c>
      <c r="K13" s="103" t="s">
        <v>82</v>
      </c>
      <c r="L13" s="104">
        <v>145278068</v>
      </c>
      <c r="M13" s="203">
        <v>1</v>
      </c>
      <c r="N13" s="198">
        <f t="shared" si="0"/>
        <v>145278068</v>
      </c>
      <c r="O13" s="101" t="s">
        <v>27</v>
      </c>
      <c r="P13" s="101" t="s">
        <v>28</v>
      </c>
      <c r="Q13" s="110">
        <v>44348</v>
      </c>
      <c r="R13" s="110">
        <v>46752</v>
      </c>
      <c r="S13" s="111" t="s">
        <v>57</v>
      </c>
      <c r="T13" s="105" t="s">
        <v>83</v>
      </c>
      <c r="U13" s="101" t="s">
        <v>84</v>
      </c>
      <c r="V13" s="101" t="s">
        <v>85</v>
      </c>
      <c r="W13" s="105" t="s">
        <v>33</v>
      </c>
      <c r="X13" s="108"/>
    </row>
    <row r="14" spans="1:24" s="16" customFormat="1" ht="36" x14ac:dyDescent="0.25">
      <c r="A14" s="101" t="s">
        <v>37</v>
      </c>
      <c r="B14" s="101" t="s">
        <v>51</v>
      </c>
      <c r="C14" s="101" t="s">
        <v>78</v>
      </c>
      <c r="D14" s="101" t="s">
        <v>475</v>
      </c>
      <c r="E14" s="101" t="s">
        <v>79</v>
      </c>
      <c r="F14" s="101" t="s">
        <v>80</v>
      </c>
      <c r="G14" s="101">
        <v>11348</v>
      </c>
      <c r="H14" s="78">
        <v>21358298</v>
      </c>
      <c r="I14" s="101" t="s">
        <v>86</v>
      </c>
      <c r="J14" s="101">
        <v>901309679</v>
      </c>
      <c r="K14" s="103" t="s">
        <v>82</v>
      </c>
      <c r="L14" s="104">
        <v>31723611</v>
      </c>
      <c r="M14" s="203">
        <v>1</v>
      </c>
      <c r="N14" s="198">
        <f t="shared" si="0"/>
        <v>31723611</v>
      </c>
      <c r="O14" s="101" t="s">
        <v>27</v>
      </c>
      <c r="P14" s="101" t="s">
        <v>28</v>
      </c>
      <c r="Q14" s="110">
        <v>44348</v>
      </c>
      <c r="R14" s="110">
        <v>46539</v>
      </c>
      <c r="S14" s="111" t="s">
        <v>57</v>
      </c>
      <c r="T14" s="105" t="s">
        <v>83</v>
      </c>
      <c r="U14" s="101" t="s">
        <v>84</v>
      </c>
      <c r="V14" s="105" t="s">
        <v>87</v>
      </c>
      <c r="W14" s="105" t="s">
        <v>33</v>
      </c>
      <c r="X14" s="108"/>
    </row>
    <row r="15" spans="1:24" s="16" customFormat="1" ht="46.15" customHeight="1" x14ac:dyDescent="0.25">
      <c r="A15" s="67">
        <v>940000001</v>
      </c>
      <c r="B15" s="17" t="s">
        <v>22</v>
      </c>
      <c r="C15" s="17" t="s">
        <v>88</v>
      </c>
      <c r="D15" s="17" t="s">
        <v>474</v>
      </c>
      <c r="E15" s="17" t="s">
        <v>89</v>
      </c>
      <c r="F15" s="17"/>
      <c r="G15" s="20">
        <v>12339</v>
      </c>
      <c r="H15" s="26">
        <v>1059008</v>
      </c>
      <c r="I15" s="17" t="s">
        <v>90</v>
      </c>
      <c r="J15" s="17">
        <v>1004169</v>
      </c>
      <c r="K15" s="68" t="s">
        <v>91</v>
      </c>
      <c r="L15" s="18">
        <v>1059008</v>
      </c>
      <c r="M15" s="204">
        <v>1</v>
      </c>
      <c r="N15" s="198">
        <f t="shared" si="0"/>
        <v>1059008</v>
      </c>
      <c r="O15" s="17" t="s">
        <v>27</v>
      </c>
      <c r="P15" s="17" t="s">
        <v>28</v>
      </c>
      <c r="Q15" s="19">
        <v>43609</v>
      </c>
      <c r="R15" s="19">
        <v>45436</v>
      </c>
      <c r="S15" s="17" t="s">
        <v>92</v>
      </c>
      <c r="T15" s="17" t="s">
        <v>93</v>
      </c>
      <c r="U15" s="17" t="s">
        <v>94</v>
      </c>
      <c r="V15" s="91" t="s">
        <v>95</v>
      </c>
      <c r="W15" s="71" t="s">
        <v>96</v>
      </c>
      <c r="X15" s="29"/>
    </row>
    <row r="16" spans="1:24" s="16" customFormat="1" ht="12" customHeight="1" x14ac:dyDescent="0.25">
      <c r="A16" s="141" t="s">
        <v>97</v>
      </c>
      <c r="B16" s="141" t="s">
        <v>51</v>
      </c>
      <c r="C16" s="165" t="s">
        <v>98</v>
      </c>
      <c r="D16" s="102" t="s">
        <v>475</v>
      </c>
      <c r="E16" s="102" t="s">
        <v>99</v>
      </c>
      <c r="F16" s="165"/>
      <c r="G16" s="102">
        <v>23002</v>
      </c>
      <c r="H16" s="76">
        <v>286000</v>
      </c>
      <c r="I16" s="165" t="s">
        <v>100</v>
      </c>
      <c r="J16" s="141">
        <v>830087099</v>
      </c>
      <c r="K16" s="160" t="s">
        <v>101</v>
      </c>
      <c r="L16" s="166">
        <v>120168</v>
      </c>
      <c r="M16" s="202">
        <v>0.25</v>
      </c>
      <c r="N16" s="198">
        <f t="shared" si="0"/>
        <v>30042</v>
      </c>
      <c r="O16" s="141" t="s">
        <v>27</v>
      </c>
      <c r="P16" s="141" t="s">
        <v>44</v>
      </c>
      <c r="Q16" s="162">
        <v>44835</v>
      </c>
      <c r="R16" s="162">
        <v>46296</v>
      </c>
      <c r="S16" s="141" t="s">
        <v>102</v>
      </c>
      <c r="T16" s="156" t="s">
        <v>103</v>
      </c>
      <c r="U16" s="141" t="s">
        <v>48</v>
      </c>
      <c r="V16" s="141" t="s">
        <v>104</v>
      </c>
      <c r="W16" s="156" t="s">
        <v>33</v>
      </c>
      <c r="X16" s="108"/>
    </row>
    <row r="17" spans="1:24" s="16" customFormat="1" ht="12" customHeight="1" x14ac:dyDescent="0.25">
      <c r="A17" s="141" t="s">
        <v>97</v>
      </c>
      <c r="B17" s="141" t="s">
        <v>51</v>
      </c>
      <c r="C17" s="165" t="s">
        <v>98</v>
      </c>
      <c r="D17" s="102" t="s">
        <v>475</v>
      </c>
      <c r="E17" s="102" t="s">
        <v>105</v>
      </c>
      <c r="F17" s="165"/>
      <c r="G17" s="102">
        <v>23001</v>
      </c>
      <c r="H17" s="50">
        <v>572000</v>
      </c>
      <c r="I17" s="165" t="s">
        <v>100</v>
      </c>
      <c r="J17" s="141">
        <v>830087099</v>
      </c>
      <c r="K17" s="160" t="s">
        <v>101</v>
      </c>
      <c r="L17" s="166">
        <v>120168</v>
      </c>
      <c r="M17" s="202">
        <v>0.25</v>
      </c>
      <c r="N17" s="198">
        <f t="shared" si="0"/>
        <v>30042</v>
      </c>
      <c r="O17" s="141" t="s">
        <v>27</v>
      </c>
      <c r="P17" s="141" t="s">
        <v>44</v>
      </c>
      <c r="Q17" s="162">
        <v>44835</v>
      </c>
      <c r="R17" s="162">
        <v>46296</v>
      </c>
      <c r="S17" s="141" t="s">
        <v>102</v>
      </c>
      <c r="T17" s="156" t="s">
        <v>103</v>
      </c>
      <c r="U17" s="141" t="s">
        <v>48</v>
      </c>
      <c r="V17" s="141" t="s">
        <v>104</v>
      </c>
      <c r="W17" s="156" t="s">
        <v>33</v>
      </c>
      <c r="X17" s="108"/>
    </row>
    <row r="18" spans="1:24" s="16" customFormat="1" ht="12" customHeight="1" x14ac:dyDescent="0.25">
      <c r="A18" s="141" t="s">
        <v>97</v>
      </c>
      <c r="B18" s="141" t="s">
        <v>51</v>
      </c>
      <c r="C18" s="165" t="s">
        <v>98</v>
      </c>
      <c r="D18" s="102" t="s">
        <v>475</v>
      </c>
      <c r="E18" s="102" t="s">
        <v>106</v>
      </c>
      <c r="F18" s="165"/>
      <c r="G18" s="102">
        <v>22001</v>
      </c>
      <c r="H18" s="50">
        <v>572000</v>
      </c>
      <c r="I18" s="165" t="s">
        <v>100</v>
      </c>
      <c r="J18" s="141">
        <v>830087099</v>
      </c>
      <c r="K18" s="160" t="s">
        <v>101</v>
      </c>
      <c r="L18" s="166">
        <v>120168</v>
      </c>
      <c r="M18" s="202">
        <v>0.25</v>
      </c>
      <c r="N18" s="198">
        <f t="shared" si="0"/>
        <v>30042</v>
      </c>
      <c r="O18" s="141" t="s">
        <v>27</v>
      </c>
      <c r="P18" s="141" t="s">
        <v>44</v>
      </c>
      <c r="Q18" s="162">
        <v>44835</v>
      </c>
      <c r="R18" s="162">
        <v>46296</v>
      </c>
      <c r="S18" s="141" t="s">
        <v>102</v>
      </c>
      <c r="T18" s="156" t="s">
        <v>103</v>
      </c>
      <c r="U18" s="141" t="s">
        <v>48</v>
      </c>
      <c r="V18" s="141" t="s">
        <v>104</v>
      </c>
      <c r="W18" s="156" t="s">
        <v>33</v>
      </c>
      <c r="X18" s="108"/>
    </row>
    <row r="19" spans="1:24" s="16" customFormat="1" ht="12" customHeight="1" x14ac:dyDescent="0.25">
      <c r="A19" s="141" t="s">
        <v>97</v>
      </c>
      <c r="B19" s="141" t="s">
        <v>51</v>
      </c>
      <c r="C19" s="165" t="s">
        <v>98</v>
      </c>
      <c r="D19" s="102" t="s">
        <v>475</v>
      </c>
      <c r="E19" s="102" t="s">
        <v>107</v>
      </c>
      <c r="F19" s="165"/>
      <c r="G19" s="102">
        <v>25002</v>
      </c>
      <c r="H19" s="77">
        <v>572000</v>
      </c>
      <c r="I19" s="165" t="s">
        <v>100</v>
      </c>
      <c r="J19" s="141">
        <v>830087099</v>
      </c>
      <c r="K19" s="160" t="s">
        <v>101</v>
      </c>
      <c r="L19" s="166">
        <v>120168</v>
      </c>
      <c r="M19" s="202">
        <v>0.25</v>
      </c>
      <c r="N19" s="198">
        <f t="shared" si="0"/>
        <v>30042</v>
      </c>
      <c r="O19" s="141" t="s">
        <v>27</v>
      </c>
      <c r="P19" s="141" t="s">
        <v>44</v>
      </c>
      <c r="Q19" s="162">
        <v>44835</v>
      </c>
      <c r="R19" s="162">
        <v>46296</v>
      </c>
      <c r="S19" s="141" t="s">
        <v>102</v>
      </c>
      <c r="T19" s="156" t="s">
        <v>103</v>
      </c>
      <c r="U19" s="141" t="s">
        <v>48</v>
      </c>
      <c r="V19" s="141" t="s">
        <v>104</v>
      </c>
      <c r="W19" s="156" t="s">
        <v>33</v>
      </c>
      <c r="X19" s="108"/>
    </row>
    <row r="20" spans="1:24" s="16" customFormat="1" ht="24" x14ac:dyDescent="0.25">
      <c r="A20" s="101" t="s">
        <v>97</v>
      </c>
      <c r="B20" s="101" t="s">
        <v>51</v>
      </c>
      <c r="C20" s="102" t="s">
        <v>98</v>
      </c>
      <c r="D20" s="102" t="s">
        <v>475</v>
      </c>
      <c r="E20" s="102" t="s">
        <v>99</v>
      </c>
      <c r="F20" s="102"/>
      <c r="G20" s="102">
        <v>23002</v>
      </c>
      <c r="H20" s="78">
        <v>16807</v>
      </c>
      <c r="I20" s="102" t="s">
        <v>108</v>
      </c>
      <c r="J20" s="101">
        <v>830087099</v>
      </c>
      <c r="K20" s="103" t="s">
        <v>101</v>
      </c>
      <c r="L20" s="114">
        <v>16807</v>
      </c>
      <c r="M20" s="203">
        <v>1</v>
      </c>
      <c r="N20" s="198">
        <f t="shared" si="0"/>
        <v>16807</v>
      </c>
      <c r="O20" s="101" t="s">
        <v>27</v>
      </c>
      <c r="P20" s="101" t="s">
        <v>44</v>
      </c>
      <c r="Q20" s="110">
        <v>44835</v>
      </c>
      <c r="R20" s="110">
        <v>46296</v>
      </c>
      <c r="S20" s="101" t="s">
        <v>102</v>
      </c>
      <c r="T20" s="105" t="s">
        <v>103</v>
      </c>
      <c r="U20" s="101" t="s">
        <v>48</v>
      </c>
      <c r="V20" s="101" t="s">
        <v>104</v>
      </c>
      <c r="W20" s="105" t="s">
        <v>33</v>
      </c>
      <c r="X20" s="108"/>
    </row>
    <row r="21" spans="1:24" s="16" customFormat="1" ht="39" customHeight="1" x14ac:dyDescent="0.25">
      <c r="A21" s="67" t="s">
        <v>37</v>
      </c>
      <c r="B21" s="17" t="s">
        <v>38</v>
      </c>
      <c r="C21" s="17" t="s">
        <v>109</v>
      </c>
      <c r="D21" s="17" t="s">
        <v>475</v>
      </c>
      <c r="E21" s="17" t="s">
        <v>110</v>
      </c>
      <c r="F21" s="17"/>
      <c r="G21" s="17">
        <v>27022</v>
      </c>
      <c r="H21" s="26">
        <v>2112400</v>
      </c>
      <c r="I21" s="17" t="s">
        <v>111</v>
      </c>
      <c r="J21" s="17">
        <v>800160932</v>
      </c>
      <c r="K21" s="68" t="s">
        <v>112</v>
      </c>
      <c r="L21" s="70">
        <v>2611297</v>
      </c>
      <c r="M21" s="203">
        <v>1</v>
      </c>
      <c r="N21" s="198">
        <f t="shared" si="0"/>
        <v>2611297</v>
      </c>
      <c r="O21" s="17" t="s">
        <v>27</v>
      </c>
      <c r="P21" s="17" t="s">
        <v>28</v>
      </c>
      <c r="Q21" s="19">
        <v>44501</v>
      </c>
      <c r="R21" s="19">
        <v>45471</v>
      </c>
      <c r="S21" s="17" t="s">
        <v>113</v>
      </c>
      <c r="T21" s="17" t="s">
        <v>114</v>
      </c>
      <c r="U21" s="20" t="s">
        <v>31</v>
      </c>
      <c r="V21" s="92" t="s">
        <v>115</v>
      </c>
      <c r="W21" s="71" t="s">
        <v>96</v>
      </c>
      <c r="X21" s="29"/>
    </row>
    <row r="22" spans="1:24" s="16" customFormat="1" ht="60" x14ac:dyDescent="0.25">
      <c r="A22" s="101" t="s">
        <v>37</v>
      </c>
      <c r="B22" s="101" t="s">
        <v>38</v>
      </c>
      <c r="C22" s="101" t="s">
        <v>109</v>
      </c>
      <c r="D22" s="101" t="s">
        <v>475</v>
      </c>
      <c r="E22" s="101" t="s">
        <v>110</v>
      </c>
      <c r="F22" s="101" t="s">
        <v>41</v>
      </c>
      <c r="G22" s="101">
        <v>27022</v>
      </c>
      <c r="H22" s="78">
        <v>3000000</v>
      </c>
      <c r="I22" s="101" t="s">
        <v>111</v>
      </c>
      <c r="J22" s="101">
        <v>800160932</v>
      </c>
      <c r="K22" s="103" t="s">
        <v>112</v>
      </c>
      <c r="L22" s="115">
        <v>3216000</v>
      </c>
      <c r="M22" s="203">
        <v>1</v>
      </c>
      <c r="N22" s="198">
        <f t="shared" si="0"/>
        <v>3216000</v>
      </c>
      <c r="O22" s="101" t="s">
        <v>116</v>
      </c>
      <c r="P22" s="101" t="s">
        <v>117</v>
      </c>
      <c r="Q22" s="110">
        <v>45474</v>
      </c>
      <c r="R22" s="110">
        <v>46569</v>
      </c>
      <c r="S22" s="111" t="s">
        <v>118</v>
      </c>
      <c r="T22" s="101" t="s">
        <v>114</v>
      </c>
      <c r="U22" s="101" t="s">
        <v>119</v>
      </c>
      <c r="V22" s="116" t="s">
        <v>120</v>
      </c>
      <c r="W22" s="105" t="s">
        <v>33</v>
      </c>
      <c r="X22" s="112" t="s">
        <v>34</v>
      </c>
    </row>
    <row r="23" spans="1:24" s="16" customFormat="1" ht="86.25" customHeight="1" x14ac:dyDescent="0.25">
      <c r="A23" s="101" t="s">
        <v>37</v>
      </c>
      <c r="B23" s="101" t="s">
        <v>51</v>
      </c>
      <c r="C23" s="101" t="s">
        <v>121</v>
      </c>
      <c r="D23" s="101" t="s">
        <v>478</v>
      </c>
      <c r="E23" s="101" t="s">
        <v>122</v>
      </c>
      <c r="F23" s="101"/>
      <c r="G23" s="101" t="s">
        <v>123</v>
      </c>
      <c r="H23" s="76" t="s">
        <v>124</v>
      </c>
      <c r="I23" s="101" t="s">
        <v>125</v>
      </c>
      <c r="J23" s="101">
        <v>900247651</v>
      </c>
      <c r="K23" s="103" t="s">
        <v>126</v>
      </c>
      <c r="L23" s="104"/>
      <c r="M23" s="203">
        <v>1</v>
      </c>
      <c r="N23" s="198">
        <f t="shared" si="0"/>
        <v>0</v>
      </c>
      <c r="O23" s="101" t="s">
        <v>27</v>
      </c>
      <c r="P23" s="101" t="s">
        <v>44</v>
      </c>
      <c r="Q23" s="101" t="s">
        <v>127</v>
      </c>
      <c r="R23" s="101" t="s">
        <v>127</v>
      </c>
      <c r="S23" s="107" t="s">
        <v>57</v>
      </c>
      <c r="T23" s="105" t="s">
        <v>127</v>
      </c>
      <c r="U23" s="101" t="s">
        <v>128</v>
      </c>
      <c r="V23" s="105" t="s">
        <v>87</v>
      </c>
      <c r="W23" s="105" t="s">
        <v>33</v>
      </c>
      <c r="X23" s="108"/>
    </row>
    <row r="24" spans="1:24" s="16" customFormat="1" ht="28.9" customHeight="1" x14ac:dyDescent="0.25">
      <c r="A24" s="65" t="s">
        <v>97</v>
      </c>
      <c r="B24" s="21" t="s">
        <v>38</v>
      </c>
      <c r="C24" s="21" t="s">
        <v>129</v>
      </c>
      <c r="D24" s="21" t="s">
        <v>484</v>
      </c>
      <c r="E24" s="21" t="s">
        <v>40</v>
      </c>
      <c r="F24" s="21"/>
      <c r="G24" s="21">
        <v>27022</v>
      </c>
      <c r="H24" s="26">
        <v>6000000</v>
      </c>
      <c r="I24" s="21" t="s">
        <v>130</v>
      </c>
      <c r="J24" s="21">
        <v>900462228</v>
      </c>
      <c r="K24" s="66" t="s">
        <v>131</v>
      </c>
      <c r="L24" s="93">
        <v>6556800</v>
      </c>
      <c r="M24" s="203">
        <v>1</v>
      </c>
      <c r="N24" s="198">
        <f t="shared" si="0"/>
        <v>6556800</v>
      </c>
      <c r="O24" s="21" t="s">
        <v>27</v>
      </c>
      <c r="P24" s="31" t="s">
        <v>28</v>
      </c>
      <c r="Q24" s="23">
        <v>44975</v>
      </c>
      <c r="R24" s="23">
        <v>45672</v>
      </c>
      <c r="S24" s="49" t="s">
        <v>57</v>
      </c>
      <c r="T24" s="21" t="s">
        <v>93</v>
      </c>
      <c r="U24" s="24" t="s">
        <v>31</v>
      </c>
      <c r="V24" s="94" t="s">
        <v>132</v>
      </c>
      <c r="W24" s="95" t="s">
        <v>96</v>
      </c>
      <c r="X24" s="29"/>
    </row>
    <row r="25" spans="1:24" s="16" customFormat="1" ht="43.15" customHeight="1" x14ac:dyDescent="0.25">
      <c r="A25" s="25" t="s">
        <v>97</v>
      </c>
      <c r="B25" s="5" t="s">
        <v>38</v>
      </c>
      <c r="C25" s="5" t="s">
        <v>129</v>
      </c>
      <c r="D25" s="5" t="s">
        <v>484</v>
      </c>
      <c r="E25" s="5" t="s">
        <v>40</v>
      </c>
      <c r="F25" s="5"/>
      <c r="G25" s="5">
        <v>27022</v>
      </c>
      <c r="H25" s="26">
        <v>6000000</v>
      </c>
      <c r="I25" s="5" t="s">
        <v>133</v>
      </c>
      <c r="J25" s="5">
        <v>900462228</v>
      </c>
      <c r="K25" s="27" t="s">
        <v>134</v>
      </c>
      <c r="L25" s="32">
        <v>6157363</v>
      </c>
      <c r="M25" s="203">
        <v>1</v>
      </c>
      <c r="N25" s="198">
        <f t="shared" si="0"/>
        <v>6157363</v>
      </c>
      <c r="O25" s="5"/>
      <c r="P25" s="37" t="s">
        <v>28</v>
      </c>
      <c r="Q25" s="34">
        <v>44975</v>
      </c>
      <c r="R25" s="34">
        <v>45522</v>
      </c>
      <c r="S25" s="21" t="s">
        <v>29</v>
      </c>
      <c r="T25" s="5" t="s">
        <v>93</v>
      </c>
      <c r="U25" s="28" t="s">
        <v>31</v>
      </c>
      <c r="V25" s="35" t="s">
        <v>135</v>
      </c>
      <c r="W25" s="36" t="s">
        <v>96</v>
      </c>
      <c r="X25" s="29"/>
    </row>
    <row r="26" spans="1:24" s="16" customFormat="1" ht="43.15" customHeight="1" x14ac:dyDescent="0.25">
      <c r="A26" s="11" t="s">
        <v>97</v>
      </c>
      <c r="B26" s="3" t="s">
        <v>38</v>
      </c>
      <c r="C26" s="3" t="s">
        <v>129</v>
      </c>
      <c r="D26" s="3" t="s">
        <v>484</v>
      </c>
      <c r="E26" s="3" t="s">
        <v>40</v>
      </c>
      <c r="F26" s="3"/>
      <c r="G26" s="3">
        <v>27022</v>
      </c>
      <c r="H26" s="26">
        <v>6000000</v>
      </c>
      <c r="I26" s="3" t="s">
        <v>136</v>
      </c>
      <c r="J26" s="3">
        <v>900462228</v>
      </c>
      <c r="K26" s="13" t="s">
        <v>131</v>
      </c>
      <c r="L26" s="69">
        <v>68721</v>
      </c>
      <c r="M26" s="203">
        <v>1</v>
      </c>
      <c r="N26" s="198">
        <f t="shared" si="0"/>
        <v>68721</v>
      </c>
      <c r="O26" s="3" t="s">
        <v>27</v>
      </c>
      <c r="P26" s="30" t="s">
        <v>28</v>
      </c>
      <c r="Q26" s="14">
        <v>44975</v>
      </c>
      <c r="R26" s="14">
        <v>45522</v>
      </c>
      <c r="S26" s="20" t="s">
        <v>29</v>
      </c>
      <c r="T26" s="15" t="s">
        <v>93</v>
      </c>
      <c r="U26" s="15" t="s">
        <v>31</v>
      </c>
      <c r="V26" s="15"/>
      <c r="W26" s="60" t="s">
        <v>96</v>
      </c>
      <c r="X26" s="29"/>
    </row>
    <row r="27" spans="1:24" s="16" customFormat="1" ht="60" x14ac:dyDescent="0.25">
      <c r="A27" s="101">
        <v>940000001</v>
      </c>
      <c r="B27" s="101" t="s">
        <v>22</v>
      </c>
      <c r="C27" s="101" t="s">
        <v>137</v>
      </c>
      <c r="D27" s="101" t="s">
        <v>479</v>
      </c>
      <c r="E27" s="101" t="s">
        <v>138</v>
      </c>
      <c r="F27" s="101" t="s">
        <v>139</v>
      </c>
      <c r="G27" s="105">
        <v>18511</v>
      </c>
      <c r="H27" s="78">
        <v>25000</v>
      </c>
      <c r="I27" s="101" t="s">
        <v>140</v>
      </c>
      <c r="J27" s="101">
        <v>804001007</v>
      </c>
      <c r="K27" s="103" t="s">
        <v>141</v>
      </c>
      <c r="L27" s="115">
        <v>27375</v>
      </c>
      <c r="M27" s="203">
        <v>1</v>
      </c>
      <c r="N27" s="198">
        <f t="shared" si="0"/>
        <v>27375</v>
      </c>
      <c r="O27" s="101" t="s">
        <v>27</v>
      </c>
      <c r="P27" s="101" t="s">
        <v>44</v>
      </c>
      <c r="Q27" s="131"/>
      <c r="R27" s="131"/>
      <c r="S27" s="117" t="s">
        <v>57</v>
      </c>
      <c r="T27" s="105"/>
      <c r="U27" s="101" t="s">
        <v>128</v>
      </c>
      <c r="V27" s="118" t="s">
        <v>142</v>
      </c>
      <c r="W27" s="105" t="s">
        <v>33</v>
      </c>
      <c r="X27" s="108"/>
    </row>
    <row r="28" spans="1:24" s="16" customFormat="1" ht="60" x14ac:dyDescent="0.25">
      <c r="A28" s="101">
        <v>940000001</v>
      </c>
      <c r="B28" s="101" t="s">
        <v>22</v>
      </c>
      <c r="C28" s="101" t="s">
        <v>137</v>
      </c>
      <c r="D28" s="101" t="s">
        <v>479</v>
      </c>
      <c r="E28" s="101" t="s">
        <v>138</v>
      </c>
      <c r="F28" s="101" t="s">
        <v>139</v>
      </c>
      <c r="G28" s="105">
        <v>18511</v>
      </c>
      <c r="H28" s="78">
        <v>2700</v>
      </c>
      <c r="I28" s="101" t="s">
        <v>143</v>
      </c>
      <c r="J28" s="101">
        <v>804001007</v>
      </c>
      <c r="K28" s="103" t="s">
        <v>141</v>
      </c>
      <c r="L28" s="115">
        <v>3000</v>
      </c>
      <c r="M28" s="203">
        <v>1</v>
      </c>
      <c r="N28" s="198">
        <f t="shared" si="0"/>
        <v>3000</v>
      </c>
      <c r="O28" s="101" t="s">
        <v>27</v>
      </c>
      <c r="P28" s="101" t="s">
        <v>44</v>
      </c>
      <c r="Q28" s="119">
        <v>44835</v>
      </c>
      <c r="R28" s="119">
        <v>45200</v>
      </c>
      <c r="S28" s="102" t="s">
        <v>57</v>
      </c>
      <c r="T28" s="113" t="s">
        <v>58</v>
      </c>
      <c r="U28" s="101" t="s">
        <v>128</v>
      </c>
      <c r="V28" s="105"/>
      <c r="W28" s="105" t="s">
        <v>33</v>
      </c>
      <c r="X28" s="108"/>
    </row>
    <row r="29" spans="1:24" s="16" customFormat="1" ht="60" x14ac:dyDescent="0.25">
      <c r="A29" s="101">
        <v>940000001</v>
      </c>
      <c r="B29" s="101" t="s">
        <v>22</v>
      </c>
      <c r="C29" s="101" t="s">
        <v>137</v>
      </c>
      <c r="D29" s="101" t="s">
        <v>479</v>
      </c>
      <c r="E29" s="101" t="s">
        <v>138</v>
      </c>
      <c r="F29" s="101" t="s">
        <v>139</v>
      </c>
      <c r="G29" s="105">
        <v>18511</v>
      </c>
      <c r="H29" s="78">
        <v>1300</v>
      </c>
      <c r="I29" s="101" t="s">
        <v>144</v>
      </c>
      <c r="J29" s="101">
        <v>804001007</v>
      </c>
      <c r="K29" s="103" t="s">
        <v>141</v>
      </c>
      <c r="L29" s="115">
        <v>1500</v>
      </c>
      <c r="M29" s="203">
        <v>1</v>
      </c>
      <c r="N29" s="198">
        <f t="shared" si="0"/>
        <v>1500</v>
      </c>
      <c r="O29" s="101" t="s">
        <v>27</v>
      </c>
      <c r="P29" s="101" t="s">
        <v>44</v>
      </c>
      <c r="Q29" s="119">
        <v>44835</v>
      </c>
      <c r="R29" s="119">
        <v>45200</v>
      </c>
      <c r="S29" s="101" t="s">
        <v>145</v>
      </c>
      <c r="T29" s="113" t="s">
        <v>58</v>
      </c>
      <c r="U29" s="101" t="s">
        <v>128</v>
      </c>
      <c r="V29" s="105"/>
      <c r="W29" s="105" t="s">
        <v>33</v>
      </c>
      <c r="X29" s="108"/>
    </row>
    <row r="30" spans="1:24" s="16" customFormat="1" ht="24.75" customHeight="1" x14ac:dyDescent="0.25">
      <c r="A30" s="101" t="s">
        <v>146</v>
      </c>
      <c r="B30" s="101" t="s">
        <v>147</v>
      </c>
      <c r="C30" s="101" t="s">
        <v>148</v>
      </c>
      <c r="D30" s="101" t="s">
        <v>480</v>
      </c>
      <c r="E30" s="101" t="s">
        <v>149</v>
      </c>
      <c r="F30" s="101" t="s">
        <v>150</v>
      </c>
      <c r="G30" s="105">
        <v>11005</v>
      </c>
      <c r="H30" s="80">
        <v>3135656</v>
      </c>
      <c r="I30" s="101" t="s">
        <v>151</v>
      </c>
      <c r="J30" s="101">
        <v>830015809</v>
      </c>
      <c r="K30" s="103" t="s">
        <v>152</v>
      </c>
      <c r="L30" s="104">
        <v>4619660</v>
      </c>
      <c r="M30" s="203">
        <v>1</v>
      </c>
      <c r="N30" s="198">
        <f t="shared" si="0"/>
        <v>4619660</v>
      </c>
      <c r="O30" s="101" t="s">
        <v>27</v>
      </c>
      <c r="P30" s="102" t="s">
        <v>153</v>
      </c>
      <c r="Q30" s="110"/>
      <c r="R30" s="110"/>
      <c r="S30" s="117" t="s">
        <v>57</v>
      </c>
      <c r="T30" s="105"/>
      <c r="U30" s="113" t="s">
        <v>154</v>
      </c>
      <c r="V30" s="101" t="s">
        <v>155</v>
      </c>
      <c r="W30" s="105" t="s">
        <v>33</v>
      </c>
      <c r="X30" s="108"/>
    </row>
    <row r="31" spans="1:24" s="16" customFormat="1" ht="40.9" customHeight="1" x14ac:dyDescent="0.25">
      <c r="A31" s="96">
        <v>940000001</v>
      </c>
      <c r="B31" s="31" t="s">
        <v>22</v>
      </c>
      <c r="C31" s="97"/>
      <c r="D31" s="97" t="s">
        <v>500</v>
      </c>
      <c r="E31" s="97"/>
      <c r="F31" s="97"/>
      <c r="G31" s="97"/>
      <c r="H31" s="38"/>
      <c r="I31" s="31" t="s">
        <v>156</v>
      </c>
      <c r="J31" s="97"/>
      <c r="K31" s="98" t="s">
        <v>157</v>
      </c>
      <c r="L31" s="39">
        <v>1617330</v>
      </c>
      <c r="M31" s="203">
        <v>1</v>
      </c>
      <c r="N31" s="198">
        <f t="shared" si="0"/>
        <v>1617330</v>
      </c>
      <c r="O31" s="31" t="s">
        <v>27</v>
      </c>
      <c r="P31" s="31" t="s">
        <v>28</v>
      </c>
      <c r="Q31" s="99">
        <v>43663</v>
      </c>
      <c r="R31" s="99">
        <v>45124</v>
      </c>
      <c r="S31" s="31" t="s">
        <v>158</v>
      </c>
      <c r="T31" s="31" t="s">
        <v>93</v>
      </c>
      <c r="U31" s="31" t="s">
        <v>159</v>
      </c>
      <c r="V31" s="100" t="s">
        <v>160</v>
      </c>
      <c r="W31" s="95" t="s">
        <v>96</v>
      </c>
      <c r="X31" s="29"/>
    </row>
    <row r="32" spans="1:24" s="16" customFormat="1" ht="39" customHeight="1" x14ac:dyDescent="0.25">
      <c r="A32" s="25" t="s">
        <v>97</v>
      </c>
      <c r="B32" s="5" t="s">
        <v>38</v>
      </c>
      <c r="C32" s="5" t="s">
        <v>161</v>
      </c>
      <c r="D32" s="5" t="s">
        <v>501</v>
      </c>
      <c r="E32" s="5" t="s">
        <v>40</v>
      </c>
      <c r="F32" s="5"/>
      <c r="G32" s="5">
        <v>27022</v>
      </c>
      <c r="H32" s="26">
        <v>6000000</v>
      </c>
      <c r="I32" s="5" t="s">
        <v>162</v>
      </c>
      <c r="J32" s="5">
        <v>900631450</v>
      </c>
      <c r="K32" s="27" t="s">
        <v>163</v>
      </c>
      <c r="L32" s="57">
        <v>6931000</v>
      </c>
      <c r="M32" s="203">
        <v>1</v>
      </c>
      <c r="N32" s="198">
        <f t="shared" si="0"/>
        <v>6931000</v>
      </c>
      <c r="O32" s="5" t="s">
        <v>27</v>
      </c>
      <c r="P32" s="5" t="s">
        <v>28</v>
      </c>
      <c r="Q32" s="34">
        <v>45344</v>
      </c>
      <c r="R32" s="34">
        <v>46075</v>
      </c>
      <c r="S32" s="48" t="s">
        <v>66</v>
      </c>
      <c r="T32" s="5" t="s">
        <v>93</v>
      </c>
      <c r="U32" s="28" t="s">
        <v>31</v>
      </c>
      <c r="V32" s="28" t="s">
        <v>164</v>
      </c>
      <c r="W32" s="60" t="s">
        <v>96</v>
      </c>
      <c r="X32" s="33" t="s">
        <v>165</v>
      </c>
    </row>
    <row r="33" spans="1:24" s="16" customFormat="1" ht="52.15" customHeight="1" x14ac:dyDescent="0.25">
      <c r="A33" s="11" t="s">
        <v>97</v>
      </c>
      <c r="B33" s="3" t="s">
        <v>38</v>
      </c>
      <c r="C33" s="3" t="s">
        <v>161</v>
      </c>
      <c r="D33" s="3" t="s">
        <v>501</v>
      </c>
      <c r="E33" s="3" t="s">
        <v>40</v>
      </c>
      <c r="F33" s="3"/>
      <c r="G33" s="3">
        <v>27022</v>
      </c>
      <c r="H33" s="26">
        <v>6000000</v>
      </c>
      <c r="I33" s="3" t="s">
        <v>166</v>
      </c>
      <c r="J33" s="3">
        <v>900631450</v>
      </c>
      <c r="K33" s="13" t="s">
        <v>163</v>
      </c>
      <c r="L33" s="59">
        <v>117264</v>
      </c>
      <c r="M33" s="203">
        <v>1</v>
      </c>
      <c r="N33" s="198">
        <f t="shared" si="0"/>
        <v>117264</v>
      </c>
      <c r="O33" s="3" t="s">
        <v>27</v>
      </c>
      <c r="P33" s="3" t="s">
        <v>28</v>
      </c>
      <c r="Q33" s="14">
        <v>45344</v>
      </c>
      <c r="R33" s="14">
        <v>46075</v>
      </c>
      <c r="S33" s="3" t="s">
        <v>66</v>
      </c>
      <c r="T33" s="3"/>
      <c r="U33" s="15"/>
      <c r="V33" s="15" t="s">
        <v>167</v>
      </c>
      <c r="W33" s="60" t="s">
        <v>96</v>
      </c>
      <c r="X33" s="29"/>
    </row>
    <row r="34" spans="1:24" s="16" customFormat="1" ht="21.75" customHeight="1" x14ac:dyDescent="0.25">
      <c r="A34" s="141" t="s">
        <v>37</v>
      </c>
      <c r="B34" s="141" t="s">
        <v>51</v>
      </c>
      <c r="C34" s="141" t="s">
        <v>168</v>
      </c>
      <c r="D34" s="101" t="s">
        <v>481</v>
      </c>
      <c r="E34" s="101" t="s">
        <v>40</v>
      </c>
      <c r="F34" s="102" t="s">
        <v>62</v>
      </c>
      <c r="G34" s="101">
        <v>27022</v>
      </c>
      <c r="H34" s="76">
        <v>7345878</v>
      </c>
      <c r="I34" s="141" t="s">
        <v>169</v>
      </c>
      <c r="J34" s="141">
        <v>802007384</v>
      </c>
      <c r="K34" s="160" t="s">
        <v>170</v>
      </c>
      <c r="L34" s="167">
        <v>42225045</v>
      </c>
      <c r="M34" s="202">
        <v>0.5</v>
      </c>
      <c r="N34" s="198">
        <f t="shared" si="0"/>
        <v>21112522.5</v>
      </c>
      <c r="O34" s="141" t="s">
        <v>27</v>
      </c>
      <c r="P34" s="141" t="s">
        <v>28</v>
      </c>
      <c r="Q34" s="162">
        <v>42060</v>
      </c>
      <c r="R34" s="162">
        <v>47115</v>
      </c>
      <c r="S34" s="163" t="s">
        <v>118</v>
      </c>
      <c r="T34" s="101" t="s">
        <v>171</v>
      </c>
      <c r="U34" s="101" t="s">
        <v>172</v>
      </c>
      <c r="V34" s="156" t="s">
        <v>173</v>
      </c>
      <c r="W34" s="156" t="s">
        <v>33</v>
      </c>
      <c r="X34" s="172" t="s">
        <v>174</v>
      </c>
    </row>
    <row r="35" spans="1:24" s="16" customFormat="1" ht="32.25" customHeight="1" x14ac:dyDescent="0.25">
      <c r="A35" s="141" t="s">
        <v>37</v>
      </c>
      <c r="B35" s="141" t="s">
        <v>51</v>
      </c>
      <c r="C35" s="141" t="s">
        <v>168</v>
      </c>
      <c r="D35" s="101" t="s">
        <v>481</v>
      </c>
      <c r="E35" s="101" t="s">
        <v>68</v>
      </c>
      <c r="F35" s="101"/>
      <c r="G35" s="101">
        <v>27001</v>
      </c>
      <c r="H35" s="77">
        <v>29383510</v>
      </c>
      <c r="I35" s="141" t="s">
        <v>169</v>
      </c>
      <c r="J35" s="141">
        <v>802007384</v>
      </c>
      <c r="K35" s="160" t="s">
        <v>170</v>
      </c>
      <c r="L35" s="167">
        <v>42225045</v>
      </c>
      <c r="M35" s="202">
        <v>0.5</v>
      </c>
      <c r="N35" s="198">
        <f t="shared" si="0"/>
        <v>21112522.5</v>
      </c>
      <c r="O35" s="141" t="s">
        <v>27</v>
      </c>
      <c r="P35" s="141" t="s">
        <v>28</v>
      </c>
      <c r="Q35" s="162">
        <v>42060</v>
      </c>
      <c r="R35" s="162">
        <v>47115</v>
      </c>
      <c r="S35" s="163" t="s">
        <v>118</v>
      </c>
      <c r="T35" s="101" t="s">
        <v>175</v>
      </c>
      <c r="U35" s="101" t="s">
        <v>176</v>
      </c>
      <c r="V35" s="156" t="s">
        <v>173</v>
      </c>
      <c r="W35" s="156" t="s">
        <v>33</v>
      </c>
      <c r="X35" s="172" t="s">
        <v>174</v>
      </c>
    </row>
    <row r="36" spans="1:24" s="16" customFormat="1" ht="15" customHeight="1" x14ac:dyDescent="0.25">
      <c r="A36" s="141" t="s">
        <v>37</v>
      </c>
      <c r="B36" s="141" t="s">
        <v>51</v>
      </c>
      <c r="C36" s="141" t="s">
        <v>168</v>
      </c>
      <c r="D36" s="101" t="s">
        <v>481</v>
      </c>
      <c r="E36" s="102" t="s">
        <v>40</v>
      </c>
      <c r="F36" s="102" t="s">
        <v>62</v>
      </c>
      <c r="G36" s="102">
        <v>27022</v>
      </c>
      <c r="H36" s="81">
        <v>7345878</v>
      </c>
      <c r="I36" s="141" t="s">
        <v>177</v>
      </c>
      <c r="J36" s="141">
        <v>802007384</v>
      </c>
      <c r="K36" s="160" t="s">
        <v>170</v>
      </c>
      <c r="L36" s="167">
        <v>16438438</v>
      </c>
      <c r="M36" s="202">
        <v>0.5</v>
      </c>
      <c r="N36" s="198">
        <f t="shared" si="0"/>
        <v>8219219</v>
      </c>
      <c r="O36" s="141" t="s">
        <v>27</v>
      </c>
      <c r="P36" s="141" t="s">
        <v>28</v>
      </c>
      <c r="Q36" s="162">
        <v>45261</v>
      </c>
      <c r="R36" s="162">
        <v>47115</v>
      </c>
      <c r="S36" s="163" t="s">
        <v>57</v>
      </c>
      <c r="T36" s="101" t="s">
        <v>171</v>
      </c>
      <c r="U36" s="101" t="s">
        <v>178</v>
      </c>
      <c r="V36" s="101" t="s">
        <v>179</v>
      </c>
      <c r="W36" s="156" t="s">
        <v>33</v>
      </c>
      <c r="X36" s="189"/>
    </row>
    <row r="37" spans="1:24" s="16" customFormat="1" ht="33" customHeight="1" x14ac:dyDescent="0.25">
      <c r="A37" s="141" t="s">
        <v>37</v>
      </c>
      <c r="B37" s="141" t="s">
        <v>51</v>
      </c>
      <c r="C37" s="141" t="s">
        <v>168</v>
      </c>
      <c r="D37" s="101" t="s">
        <v>481</v>
      </c>
      <c r="E37" s="102" t="s">
        <v>68</v>
      </c>
      <c r="F37" s="102"/>
      <c r="G37" s="102">
        <v>27001</v>
      </c>
      <c r="H37" s="82">
        <v>29383510</v>
      </c>
      <c r="I37" s="141" t="s">
        <v>177</v>
      </c>
      <c r="J37" s="141"/>
      <c r="K37" s="160"/>
      <c r="L37" s="167">
        <v>16438438</v>
      </c>
      <c r="M37" s="202">
        <v>0.5</v>
      </c>
      <c r="N37" s="198">
        <f t="shared" si="0"/>
        <v>8219219</v>
      </c>
      <c r="O37" s="141" t="s">
        <v>27</v>
      </c>
      <c r="P37" s="141" t="s">
        <v>28</v>
      </c>
      <c r="Q37" s="162">
        <v>45261</v>
      </c>
      <c r="R37" s="162">
        <v>47115</v>
      </c>
      <c r="S37" s="163" t="s">
        <v>57</v>
      </c>
      <c r="T37" s="101" t="s">
        <v>175</v>
      </c>
      <c r="U37" s="101" t="s">
        <v>176</v>
      </c>
      <c r="V37" s="101" t="s">
        <v>176</v>
      </c>
      <c r="W37" s="156" t="s">
        <v>33</v>
      </c>
      <c r="X37" s="189"/>
    </row>
    <row r="38" spans="1:24" s="16" customFormat="1" ht="24" x14ac:dyDescent="0.25">
      <c r="A38" s="101" t="s">
        <v>146</v>
      </c>
      <c r="B38" s="101" t="s">
        <v>147</v>
      </c>
      <c r="C38" s="101" t="s">
        <v>148</v>
      </c>
      <c r="D38" s="101" t="s">
        <v>480</v>
      </c>
      <c r="E38" s="102" t="s">
        <v>180</v>
      </c>
      <c r="F38" s="101" t="s">
        <v>150</v>
      </c>
      <c r="G38" s="102">
        <v>29002</v>
      </c>
      <c r="H38" s="83">
        <v>16075565</v>
      </c>
      <c r="I38" s="102" t="s">
        <v>181</v>
      </c>
      <c r="J38" s="101">
        <v>900077452</v>
      </c>
      <c r="K38" s="120" t="s">
        <v>182</v>
      </c>
      <c r="L38" s="121">
        <v>19167862</v>
      </c>
      <c r="M38" s="206">
        <v>1</v>
      </c>
      <c r="N38" s="198">
        <f t="shared" si="0"/>
        <v>19167862</v>
      </c>
      <c r="O38" s="101" t="s">
        <v>27</v>
      </c>
      <c r="P38" s="102" t="s">
        <v>153</v>
      </c>
      <c r="Q38" s="110"/>
      <c r="R38" s="110"/>
      <c r="S38" s="111" t="s">
        <v>57</v>
      </c>
      <c r="T38" s="105">
        <v>0</v>
      </c>
      <c r="U38" s="113" t="s">
        <v>154</v>
      </c>
      <c r="V38" s="101" t="s">
        <v>155</v>
      </c>
      <c r="W38" s="105" t="s">
        <v>33</v>
      </c>
      <c r="X38" s="108"/>
    </row>
    <row r="39" spans="1:24" s="16" customFormat="1" ht="36" x14ac:dyDescent="0.25">
      <c r="A39" s="101" t="s">
        <v>146</v>
      </c>
      <c r="B39" s="101" t="s">
        <v>147</v>
      </c>
      <c r="C39" s="101" t="s">
        <v>148</v>
      </c>
      <c r="D39" s="101" t="s">
        <v>480</v>
      </c>
      <c r="E39" s="101" t="s">
        <v>180</v>
      </c>
      <c r="F39" s="101" t="s">
        <v>150</v>
      </c>
      <c r="G39" s="101">
        <v>29002</v>
      </c>
      <c r="H39" s="78">
        <v>422576</v>
      </c>
      <c r="I39" s="101" t="s">
        <v>183</v>
      </c>
      <c r="J39" s="101">
        <v>900077452</v>
      </c>
      <c r="K39" s="103" t="s">
        <v>182</v>
      </c>
      <c r="L39" s="114">
        <v>422576</v>
      </c>
      <c r="M39" s="206">
        <v>1</v>
      </c>
      <c r="N39" s="198">
        <f t="shared" si="0"/>
        <v>422576</v>
      </c>
      <c r="O39" s="101" t="s">
        <v>27</v>
      </c>
      <c r="P39" s="102" t="s">
        <v>153</v>
      </c>
      <c r="Q39" s="110"/>
      <c r="R39" s="110"/>
      <c r="S39" s="111" t="s">
        <v>145</v>
      </c>
      <c r="T39" s="105">
        <v>0</v>
      </c>
      <c r="U39" s="113"/>
      <c r="V39" s="101" t="s">
        <v>155</v>
      </c>
      <c r="W39" s="105" t="s">
        <v>33</v>
      </c>
      <c r="X39" s="108"/>
    </row>
    <row r="40" spans="1:24" s="16" customFormat="1" ht="24" x14ac:dyDescent="0.25">
      <c r="A40" s="101" t="s">
        <v>146</v>
      </c>
      <c r="B40" s="101" t="s">
        <v>147</v>
      </c>
      <c r="C40" s="101" t="s">
        <v>148</v>
      </c>
      <c r="D40" s="101" t="s">
        <v>480</v>
      </c>
      <c r="E40" s="101" t="s">
        <v>180</v>
      </c>
      <c r="F40" s="101" t="s">
        <v>150</v>
      </c>
      <c r="G40" s="101">
        <v>29002</v>
      </c>
      <c r="H40" s="78">
        <v>160786</v>
      </c>
      <c r="I40" s="101" t="s">
        <v>184</v>
      </c>
      <c r="J40" s="101">
        <v>900077452</v>
      </c>
      <c r="K40" s="103" t="s">
        <v>182</v>
      </c>
      <c r="L40" s="114">
        <v>160786</v>
      </c>
      <c r="M40" s="206">
        <v>1</v>
      </c>
      <c r="N40" s="198">
        <f t="shared" si="0"/>
        <v>160786</v>
      </c>
      <c r="O40" s="101" t="s">
        <v>27</v>
      </c>
      <c r="P40" s="102" t="s">
        <v>153</v>
      </c>
      <c r="Q40" s="110"/>
      <c r="R40" s="110"/>
      <c r="S40" s="111" t="s">
        <v>145</v>
      </c>
      <c r="T40" s="105">
        <v>0</v>
      </c>
      <c r="U40" s="113"/>
      <c r="V40" s="101" t="s">
        <v>155</v>
      </c>
      <c r="W40" s="105" t="s">
        <v>33</v>
      </c>
      <c r="X40" s="108"/>
    </row>
    <row r="41" spans="1:24" s="16" customFormat="1" ht="24" x14ac:dyDescent="0.25">
      <c r="A41" s="101" t="s">
        <v>146</v>
      </c>
      <c r="B41" s="101" t="s">
        <v>147</v>
      </c>
      <c r="C41" s="101" t="s">
        <v>148</v>
      </c>
      <c r="D41" s="101" t="s">
        <v>480</v>
      </c>
      <c r="E41" s="101" t="s">
        <v>180</v>
      </c>
      <c r="F41" s="101" t="s">
        <v>150</v>
      </c>
      <c r="G41" s="101">
        <v>29002</v>
      </c>
      <c r="H41" s="78">
        <v>108100</v>
      </c>
      <c r="I41" s="101" t="s">
        <v>185</v>
      </c>
      <c r="J41" s="101">
        <v>900077452</v>
      </c>
      <c r="K41" s="103" t="s">
        <v>182</v>
      </c>
      <c r="L41" s="115">
        <v>171711</v>
      </c>
      <c r="M41" s="206">
        <v>1</v>
      </c>
      <c r="N41" s="198">
        <f t="shared" si="0"/>
        <v>171711</v>
      </c>
      <c r="O41" s="101" t="s">
        <v>27</v>
      </c>
      <c r="P41" s="102" t="s">
        <v>153</v>
      </c>
      <c r="Q41" s="110"/>
      <c r="R41" s="110"/>
      <c r="S41" s="111" t="s">
        <v>145</v>
      </c>
      <c r="T41" s="105">
        <v>0</v>
      </c>
      <c r="U41" s="113"/>
      <c r="V41" s="101" t="s">
        <v>155</v>
      </c>
      <c r="W41" s="105" t="s">
        <v>33</v>
      </c>
      <c r="X41" s="108"/>
    </row>
    <row r="42" spans="1:24" s="16" customFormat="1" ht="24" x14ac:dyDescent="0.25">
      <c r="A42" s="101" t="s">
        <v>146</v>
      </c>
      <c r="B42" s="101" t="s">
        <v>147</v>
      </c>
      <c r="C42" s="101" t="s">
        <v>148</v>
      </c>
      <c r="D42" s="101" t="s">
        <v>480</v>
      </c>
      <c r="E42" s="101" t="s">
        <v>180</v>
      </c>
      <c r="F42" s="101" t="s">
        <v>150</v>
      </c>
      <c r="G42" s="101">
        <v>29002</v>
      </c>
      <c r="H42" s="78">
        <v>87429</v>
      </c>
      <c r="I42" s="101" t="s">
        <v>186</v>
      </c>
      <c r="J42" s="101">
        <v>900077452</v>
      </c>
      <c r="K42" s="103" t="s">
        <v>182</v>
      </c>
      <c r="L42" s="114">
        <v>87429</v>
      </c>
      <c r="M42" s="206">
        <v>1</v>
      </c>
      <c r="N42" s="198">
        <f t="shared" si="0"/>
        <v>87429</v>
      </c>
      <c r="O42" s="101" t="s">
        <v>27</v>
      </c>
      <c r="P42" s="102" t="s">
        <v>153</v>
      </c>
      <c r="Q42" s="110"/>
      <c r="R42" s="110"/>
      <c r="S42" s="111" t="s">
        <v>145</v>
      </c>
      <c r="T42" s="105">
        <v>0</v>
      </c>
      <c r="U42" s="113"/>
      <c r="V42" s="101" t="s">
        <v>155</v>
      </c>
      <c r="W42" s="105" t="s">
        <v>33</v>
      </c>
      <c r="X42" s="108"/>
    </row>
    <row r="43" spans="1:24" s="16" customFormat="1" ht="40.15" customHeight="1" x14ac:dyDescent="0.25">
      <c r="A43" s="140" t="s">
        <v>37</v>
      </c>
      <c r="B43" s="138" t="s">
        <v>51</v>
      </c>
      <c r="C43" s="138" t="s">
        <v>187</v>
      </c>
      <c r="D43" s="17" t="s">
        <v>482</v>
      </c>
      <c r="E43" s="138" t="s">
        <v>68</v>
      </c>
      <c r="F43" s="17"/>
      <c r="G43" s="138">
        <v>27001</v>
      </c>
      <c r="H43" s="168">
        <v>47151317</v>
      </c>
      <c r="I43" s="138" t="s">
        <v>188</v>
      </c>
      <c r="J43" s="138">
        <v>900336215</v>
      </c>
      <c r="K43" s="143" t="s">
        <v>189</v>
      </c>
      <c r="L43" s="170">
        <v>47151317</v>
      </c>
      <c r="M43" s="207">
        <v>0.5</v>
      </c>
      <c r="N43" s="198">
        <f t="shared" si="0"/>
        <v>23575658.5</v>
      </c>
      <c r="O43" s="138" t="s">
        <v>27</v>
      </c>
      <c r="P43" s="138" t="s">
        <v>28</v>
      </c>
      <c r="Q43" s="19">
        <v>42194</v>
      </c>
      <c r="R43" s="19">
        <v>44945</v>
      </c>
      <c r="S43" s="17" t="s">
        <v>57</v>
      </c>
      <c r="T43" s="17" t="s">
        <v>190</v>
      </c>
      <c r="U43" s="151" t="s">
        <v>191</v>
      </c>
      <c r="V43" s="17" t="s">
        <v>191</v>
      </c>
      <c r="W43" s="171" t="s">
        <v>96</v>
      </c>
      <c r="X43" s="146" t="s">
        <v>192</v>
      </c>
    </row>
    <row r="44" spans="1:24" s="16" customFormat="1" ht="33" customHeight="1" x14ac:dyDescent="0.25">
      <c r="A44" s="140" t="s">
        <v>37</v>
      </c>
      <c r="B44" s="138" t="s">
        <v>51</v>
      </c>
      <c r="C44" s="138" t="s">
        <v>187</v>
      </c>
      <c r="D44" s="101" t="s">
        <v>482</v>
      </c>
      <c r="E44" s="138" t="s">
        <v>68</v>
      </c>
      <c r="F44" s="101"/>
      <c r="G44" s="138">
        <v>27001</v>
      </c>
      <c r="H44" s="169"/>
      <c r="I44" s="138" t="s">
        <v>188</v>
      </c>
      <c r="J44" s="138">
        <v>900336215</v>
      </c>
      <c r="K44" s="143" t="s">
        <v>189</v>
      </c>
      <c r="L44" s="170">
        <v>47151317</v>
      </c>
      <c r="M44" s="207">
        <v>0.5</v>
      </c>
      <c r="N44" s="198">
        <f t="shared" si="0"/>
        <v>23575658.5</v>
      </c>
      <c r="O44" s="138" t="s">
        <v>27</v>
      </c>
      <c r="P44" s="138" t="s">
        <v>28</v>
      </c>
      <c r="Q44" s="110">
        <v>44896</v>
      </c>
      <c r="R44" s="110">
        <v>45627</v>
      </c>
      <c r="S44" s="101" t="s">
        <v>46</v>
      </c>
      <c r="T44" s="101" t="s">
        <v>193</v>
      </c>
      <c r="U44" s="151" t="s">
        <v>191</v>
      </c>
      <c r="V44" s="101" t="s">
        <v>194</v>
      </c>
      <c r="W44" s="171" t="s">
        <v>96</v>
      </c>
      <c r="X44" s="146" t="s">
        <v>192</v>
      </c>
    </row>
    <row r="45" spans="1:24" s="16" customFormat="1" ht="60" x14ac:dyDescent="0.25">
      <c r="A45" s="101">
        <v>940000001</v>
      </c>
      <c r="B45" s="101" t="s">
        <v>22</v>
      </c>
      <c r="C45" s="101" t="s">
        <v>137</v>
      </c>
      <c r="D45" s="101" t="s">
        <v>479</v>
      </c>
      <c r="E45" s="101" t="s">
        <v>138</v>
      </c>
      <c r="F45" s="101" t="s">
        <v>139</v>
      </c>
      <c r="G45" s="105">
        <v>18511</v>
      </c>
      <c r="H45" s="78">
        <v>7300000</v>
      </c>
      <c r="I45" s="101" t="s">
        <v>195</v>
      </c>
      <c r="J45" s="101">
        <v>804001007</v>
      </c>
      <c r="K45" s="120" t="s">
        <v>196</v>
      </c>
      <c r="L45" s="115">
        <v>9493332</v>
      </c>
      <c r="M45" s="203">
        <v>1</v>
      </c>
      <c r="N45" s="198">
        <f t="shared" si="0"/>
        <v>9493332</v>
      </c>
      <c r="O45" s="101" t="s">
        <v>197</v>
      </c>
      <c r="P45" s="102" t="s">
        <v>28</v>
      </c>
      <c r="Q45" s="119">
        <v>44835</v>
      </c>
      <c r="R45" s="119">
        <v>46296</v>
      </c>
      <c r="S45" s="117" t="s">
        <v>102</v>
      </c>
      <c r="T45" s="113" t="s">
        <v>58</v>
      </c>
      <c r="U45" s="113" t="s">
        <v>31</v>
      </c>
      <c r="V45" s="113" t="s">
        <v>198</v>
      </c>
      <c r="W45" s="113" t="s">
        <v>33</v>
      </c>
      <c r="X45" s="108"/>
    </row>
    <row r="46" spans="1:24" s="16" customFormat="1" ht="60" x14ac:dyDescent="0.25">
      <c r="A46" s="101">
        <v>940000001</v>
      </c>
      <c r="B46" s="101" t="s">
        <v>22</v>
      </c>
      <c r="C46" s="101" t="s">
        <v>137</v>
      </c>
      <c r="D46" s="101" t="s">
        <v>479</v>
      </c>
      <c r="E46" s="101" t="s">
        <v>138</v>
      </c>
      <c r="F46" s="101" t="s">
        <v>139</v>
      </c>
      <c r="G46" s="105">
        <v>18511</v>
      </c>
      <c r="H46" s="78">
        <v>2205300</v>
      </c>
      <c r="I46" s="101" t="s">
        <v>199</v>
      </c>
      <c r="J46" s="101">
        <v>804001007</v>
      </c>
      <c r="K46" s="120" t="s">
        <v>196</v>
      </c>
      <c r="L46" s="115">
        <f>2410000+229100</f>
        <v>2639100</v>
      </c>
      <c r="M46" s="203">
        <v>1</v>
      </c>
      <c r="N46" s="198">
        <f t="shared" si="0"/>
        <v>2639100</v>
      </c>
      <c r="O46" s="101" t="s">
        <v>27</v>
      </c>
      <c r="P46" s="102" t="s">
        <v>28</v>
      </c>
      <c r="Q46" s="119">
        <v>44835</v>
      </c>
      <c r="R46" s="119">
        <v>46296</v>
      </c>
      <c r="S46" s="117" t="s">
        <v>57</v>
      </c>
      <c r="T46" s="113" t="s">
        <v>58</v>
      </c>
      <c r="U46" s="102" t="s">
        <v>154</v>
      </c>
      <c r="V46" s="113"/>
      <c r="W46" s="113" t="s">
        <v>33</v>
      </c>
      <c r="X46" s="108"/>
    </row>
    <row r="47" spans="1:24" s="16" customFormat="1" ht="48" x14ac:dyDescent="0.25">
      <c r="A47" s="101" t="s">
        <v>37</v>
      </c>
      <c r="B47" s="101" t="s">
        <v>51</v>
      </c>
      <c r="C47" s="101" t="s">
        <v>200</v>
      </c>
      <c r="D47" s="101" t="s">
        <v>483</v>
      </c>
      <c r="E47" s="101" t="s">
        <v>40</v>
      </c>
      <c r="F47" s="101" t="s">
        <v>201</v>
      </c>
      <c r="G47" s="101">
        <v>27022</v>
      </c>
      <c r="H47" s="78">
        <v>2314191</v>
      </c>
      <c r="I47" s="101" t="s">
        <v>202</v>
      </c>
      <c r="J47" s="101">
        <v>890802754</v>
      </c>
      <c r="K47" s="103" t="s">
        <v>203</v>
      </c>
      <c r="L47" s="114">
        <v>2314191</v>
      </c>
      <c r="M47" s="203">
        <v>1</v>
      </c>
      <c r="N47" s="198">
        <f t="shared" si="0"/>
        <v>2314191</v>
      </c>
      <c r="O47" s="101" t="s">
        <v>27</v>
      </c>
      <c r="P47" s="102" t="s">
        <v>28</v>
      </c>
      <c r="Q47" s="119">
        <v>42156</v>
      </c>
      <c r="R47" s="119">
        <v>46539</v>
      </c>
      <c r="S47" s="111" t="s">
        <v>45</v>
      </c>
      <c r="T47" s="101" t="s">
        <v>204</v>
      </c>
      <c r="U47" s="102" t="s">
        <v>172</v>
      </c>
      <c r="V47" s="105" t="s">
        <v>205</v>
      </c>
      <c r="W47" s="105" t="s">
        <v>50</v>
      </c>
      <c r="X47" s="112" t="s">
        <v>206</v>
      </c>
    </row>
    <row r="48" spans="1:24" s="16" customFormat="1" ht="24" x14ac:dyDescent="0.25">
      <c r="A48" s="141" t="s">
        <v>37</v>
      </c>
      <c r="B48" s="141" t="s">
        <v>51</v>
      </c>
      <c r="C48" s="141" t="s">
        <v>207</v>
      </c>
      <c r="D48" s="101" t="s">
        <v>484</v>
      </c>
      <c r="E48" s="101" t="s">
        <v>149</v>
      </c>
      <c r="F48" s="101" t="s">
        <v>208</v>
      </c>
      <c r="G48" s="101">
        <v>11005</v>
      </c>
      <c r="H48" s="76">
        <v>1705395</v>
      </c>
      <c r="I48" s="141" t="s">
        <v>209</v>
      </c>
      <c r="J48" s="141">
        <v>70117388</v>
      </c>
      <c r="K48" s="160" t="s">
        <v>210</v>
      </c>
      <c r="L48" s="161">
        <v>44182171</v>
      </c>
      <c r="M48" s="202">
        <v>0.25</v>
      </c>
      <c r="N48" s="198">
        <f t="shared" si="0"/>
        <v>11045542.75</v>
      </c>
      <c r="O48" s="141" t="s">
        <v>27</v>
      </c>
      <c r="P48" s="141" t="s">
        <v>117</v>
      </c>
      <c r="Q48" s="162">
        <v>44555</v>
      </c>
      <c r="R48" s="162">
        <v>48207</v>
      </c>
      <c r="S48" s="163" t="s">
        <v>46</v>
      </c>
      <c r="T48" s="156" t="s">
        <v>211</v>
      </c>
      <c r="U48" s="141" t="s">
        <v>212</v>
      </c>
      <c r="V48" s="156" t="s">
        <v>213</v>
      </c>
      <c r="W48" s="156" t="s">
        <v>33</v>
      </c>
      <c r="X48" s="172"/>
    </row>
    <row r="49" spans="1:24" s="16" customFormat="1" ht="22.5" customHeight="1" x14ac:dyDescent="0.25">
      <c r="A49" s="141" t="s">
        <v>37</v>
      </c>
      <c r="B49" s="141" t="s">
        <v>51</v>
      </c>
      <c r="C49" s="141" t="s">
        <v>207</v>
      </c>
      <c r="D49" s="101" t="s">
        <v>484</v>
      </c>
      <c r="E49" s="101" t="s">
        <v>214</v>
      </c>
      <c r="F49" s="101"/>
      <c r="G49" s="101">
        <v>42020</v>
      </c>
      <c r="H49" s="77">
        <v>32402505</v>
      </c>
      <c r="I49" s="141" t="s">
        <v>209</v>
      </c>
      <c r="J49" s="141">
        <v>70117388</v>
      </c>
      <c r="K49" s="160" t="s">
        <v>210</v>
      </c>
      <c r="L49" s="161">
        <v>44182171</v>
      </c>
      <c r="M49" s="202">
        <v>0.25</v>
      </c>
      <c r="N49" s="198">
        <f t="shared" si="0"/>
        <v>11045542.75</v>
      </c>
      <c r="O49" s="141" t="s">
        <v>27</v>
      </c>
      <c r="P49" s="141" t="s">
        <v>117</v>
      </c>
      <c r="Q49" s="162">
        <v>44555</v>
      </c>
      <c r="R49" s="162">
        <v>48207</v>
      </c>
      <c r="S49" s="163" t="s">
        <v>46</v>
      </c>
      <c r="T49" s="156" t="s">
        <v>211</v>
      </c>
      <c r="U49" s="141" t="s">
        <v>212</v>
      </c>
      <c r="V49" s="156" t="s">
        <v>213</v>
      </c>
      <c r="W49" s="156" t="s">
        <v>33</v>
      </c>
      <c r="X49" s="172"/>
    </row>
    <row r="50" spans="1:24" s="16" customFormat="1" ht="23.25" customHeight="1" x14ac:dyDescent="0.25">
      <c r="A50" s="141" t="s">
        <v>37</v>
      </c>
      <c r="B50" s="141" t="s">
        <v>51</v>
      </c>
      <c r="C50" s="141" t="s">
        <v>207</v>
      </c>
      <c r="D50" s="101" t="s">
        <v>484</v>
      </c>
      <c r="E50" s="101" t="s">
        <v>149</v>
      </c>
      <c r="F50" s="101" t="s">
        <v>208</v>
      </c>
      <c r="G50" s="101">
        <v>11005</v>
      </c>
      <c r="H50" s="76">
        <v>1705395</v>
      </c>
      <c r="I50" s="141" t="s">
        <v>209</v>
      </c>
      <c r="J50" s="141">
        <v>8283210</v>
      </c>
      <c r="K50" s="160" t="s">
        <v>215</v>
      </c>
      <c r="L50" s="161">
        <v>44182171</v>
      </c>
      <c r="M50" s="202">
        <v>0.25</v>
      </c>
      <c r="N50" s="198">
        <f t="shared" si="0"/>
        <v>11045542.75</v>
      </c>
      <c r="O50" s="141" t="s">
        <v>27</v>
      </c>
      <c r="P50" s="141" t="s">
        <v>117</v>
      </c>
      <c r="Q50" s="162">
        <v>44555</v>
      </c>
      <c r="R50" s="162">
        <v>48207</v>
      </c>
      <c r="S50" s="163" t="s">
        <v>46</v>
      </c>
      <c r="T50" s="156" t="s">
        <v>211</v>
      </c>
      <c r="U50" s="141" t="s">
        <v>212</v>
      </c>
      <c r="V50" s="156" t="s">
        <v>212</v>
      </c>
      <c r="W50" s="156" t="s">
        <v>33</v>
      </c>
      <c r="X50" s="159"/>
    </row>
    <row r="51" spans="1:24" s="16" customFormat="1" ht="12" customHeight="1" x14ac:dyDescent="0.25">
      <c r="A51" s="141" t="s">
        <v>37</v>
      </c>
      <c r="B51" s="141" t="s">
        <v>51</v>
      </c>
      <c r="C51" s="141" t="s">
        <v>207</v>
      </c>
      <c r="D51" s="101" t="s">
        <v>484</v>
      </c>
      <c r="E51" s="101" t="s">
        <v>214</v>
      </c>
      <c r="F51" s="101"/>
      <c r="G51" s="101">
        <v>42020</v>
      </c>
      <c r="H51" s="77">
        <v>32402505</v>
      </c>
      <c r="I51" s="141" t="s">
        <v>209</v>
      </c>
      <c r="J51" s="141">
        <v>8283210</v>
      </c>
      <c r="K51" s="160" t="s">
        <v>215</v>
      </c>
      <c r="L51" s="161">
        <v>44182171</v>
      </c>
      <c r="M51" s="202">
        <v>0.25</v>
      </c>
      <c r="N51" s="198">
        <f t="shared" si="0"/>
        <v>11045542.75</v>
      </c>
      <c r="O51" s="141" t="s">
        <v>27</v>
      </c>
      <c r="P51" s="141" t="s">
        <v>117</v>
      </c>
      <c r="Q51" s="162">
        <v>44555</v>
      </c>
      <c r="R51" s="162">
        <v>48207</v>
      </c>
      <c r="S51" s="163" t="s">
        <v>46</v>
      </c>
      <c r="T51" s="156" t="s">
        <v>211</v>
      </c>
      <c r="U51" s="141" t="s">
        <v>212</v>
      </c>
      <c r="V51" s="156" t="s">
        <v>212</v>
      </c>
      <c r="W51" s="156" t="s">
        <v>33</v>
      </c>
      <c r="X51" s="159"/>
    </row>
    <row r="52" spans="1:24" s="16" customFormat="1" ht="24" x14ac:dyDescent="0.25">
      <c r="A52" s="141" t="s">
        <v>37</v>
      </c>
      <c r="B52" s="141" t="s">
        <v>51</v>
      </c>
      <c r="C52" s="141" t="s">
        <v>216</v>
      </c>
      <c r="D52" s="101" t="s">
        <v>478</v>
      </c>
      <c r="E52" s="101" t="s">
        <v>40</v>
      </c>
      <c r="F52" s="101" t="s">
        <v>62</v>
      </c>
      <c r="G52" s="101">
        <v>27022</v>
      </c>
      <c r="H52" s="76">
        <v>2019785</v>
      </c>
      <c r="I52" s="141" t="s">
        <v>217</v>
      </c>
      <c r="J52" s="141">
        <v>900797133</v>
      </c>
      <c r="K52" s="160" t="s">
        <v>218</v>
      </c>
      <c r="L52" s="161">
        <v>12062903</v>
      </c>
      <c r="M52" s="202">
        <v>0.16600000000000001</v>
      </c>
      <c r="N52" s="198">
        <f t="shared" si="0"/>
        <v>2002441.898</v>
      </c>
      <c r="O52" s="141" t="s">
        <v>27</v>
      </c>
      <c r="P52" s="141" t="s">
        <v>28</v>
      </c>
      <c r="Q52" s="162">
        <v>41124</v>
      </c>
      <c r="R52" s="110">
        <v>46602</v>
      </c>
      <c r="S52" s="158" t="s">
        <v>219</v>
      </c>
      <c r="T52" s="156" t="s">
        <v>171</v>
      </c>
      <c r="U52" s="156" t="s">
        <v>31</v>
      </c>
      <c r="V52" s="101" t="s">
        <v>220</v>
      </c>
      <c r="W52" s="156" t="s">
        <v>50</v>
      </c>
      <c r="X52" s="159"/>
    </row>
    <row r="53" spans="1:24" s="16" customFormat="1" ht="22.5" customHeight="1" x14ac:dyDescent="0.25">
      <c r="A53" s="141" t="s">
        <v>37</v>
      </c>
      <c r="B53" s="141" t="s">
        <v>51</v>
      </c>
      <c r="C53" s="141" t="s">
        <v>216</v>
      </c>
      <c r="D53" s="101" t="s">
        <v>478</v>
      </c>
      <c r="E53" s="101" t="s">
        <v>68</v>
      </c>
      <c r="F53" s="101"/>
      <c r="G53" s="101">
        <v>27001</v>
      </c>
      <c r="H53" s="50">
        <v>8079140</v>
      </c>
      <c r="I53" s="141" t="s">
        <v>217</v>
      </c>
      <c r="J53" s="141">
        <v>900797133</v>
      </c>
      <c r="K53" s="160" t="s">
        <v>218</v>
      </c>
      <c r="L53" s="161">
        <v>12062903</v>
      </c>
      <c r="M53" s="202">
        <v>0.16600000000000001</v>
      </c>
      <c r="N53" s="198">
        <f t="shared" si="0"/>
        <v>2002441.898</v>
      </c>
      <c r="O53" s="141" t="s">
        <v>27</v>
      </c>
      <c r="P53" s="141" t="s">
        <v>28</v>
      </c>
      <c r="Q53" s="162">
        <v>41124</v>
      </c>
      <c r="R53" s="110">
        <v>44776</v>
      </c>
      <c r="S53" s="158" t="s">
        <v>219</v>
      </c>
      <c r="T53" s="156" t="s">
        <v>171</v>
      </c>
      <c r="U53" s="156" t="s">
        <v>31</v>
      </c>
      <c r="V53" s="101" t="s">
        <v>221</v>
      </c>
      <c r="W53" s="156" t="s">
        <v>50</v>
      </c>
      <c r="X53" s="159"/>
    </row>
    <row r="54" spans="1:24" s="16" customFormat="1" ht="22.5" customHeight="1" x14ac:dyDescent="0.25">
      <c r="A54" s="141" t="s">
        <v>37</v>
      </c>
      <c r="B54" s="141" t="s">
        <v>51</v>
      </c>
      <c r="C54" s="141" t="s">
        <v>216</v>
      </c>
      <c r="D54" s="101" t="s">
        <v>478</v>
      </c>
      <c r="E54" s="101"/>
      <c r="F54" s="101"/>
      <c r="G54" s="101"/>
      <c r="H54" s="84"/>
      <c r="I54" s="141" t="s">
        <v>217</v>
      </c>
      <c r="J54" s="141">
        <v>900797133</v>
      </c>
      <c r="K54" s="160" t="s">
        <v>218</v>
      </c>
      <c r="L54" s="161">
        <v>12062903</v>
      </c>
      <c r="M54" s="202">
        <v>0.16600000000000001</v>
      </c>
      <c r="N54" s="198">
        <f t="shared" si="0"/>
        <v>2002441.898</v>
      </c>
      <c r="O54" s="141" t="s">
        <v>27</v>
      </c>
      <c r="P54" s="141" t="s">
        <v>28</v>
      </c>
      <c r="Q54" s="162">
        <v>45017</v>
      </c>
      <c r="R54" s="110">
        <v>46843</v>
      </c>
      <c r="S54" s="158" t="s">
        <v>219</v>
      </c>
      <c r="T54" s="156" t="s">
        <v>171</v>
      </c>
      <c r="U54" s="156" t="s">
        <v>31</v>
      </c>
      <c r="V54" s="101" t="s">
        <v>222</v>
      </c>
      <c r="W54" s="156" t="s">
        <v>50</v>
      </c>
      <c r="X54" s="159"/>
    </row>
    <row r="55" spans="1:24" s="16" customFormat="1" ht="21.75" customHeight="1" x14ac:dyDescent="0.25">
      <c r="A55" s="141" t="s">
        <v>37</v>
      </c>
      <c r="B55" s="141" t="s">
        <v>51</v>
      </c>
      <c r="C55" s="141" t="s">
        <v>216</v>
      </c>
      <c r="D55" s="101" t="s">
        <v>478</v>
      </c>
      <c r="E55" s="101" t="s">
        <v>40</v>
      </c>
      <c r="F55" s="101" t="s">
        <v>62</v>
      </c>
      <c r="G55" s="101">
        <v>27022</v>
      </c>
      <c r="H55" s="76">
        <v>2019785</v>
      </c>
      <c r="I55" s="141" t="s">
        <v>217</v>
      </c>
      <c r="J55" s="141">
        <v>800049646</v>
      </c>
      <c r="K55" s="160" t="s">
        <v>223</v>
      </c>
      <c r="L55" s="161">
        <v>12062903</v>
      </c>
      <c r="M55" s="202">
        <v>0.16600000000000001</v>
      </c>
      <c r="N55" s="198">
        <f t="shared" si="0"/>
        <v>2002441.898</v>
      </c>
      <c r="O55" s="141" t="s">
        <v>27</v>
      </c>
      <c r="P55" s="141" t="s">
        <v>28</v>
      </c>
      <c r="Q55" s="162">
        <v>45017</v>
      </c>
      <c r="R55" s="162">
        <v>46843</v>
      </c>
      <c r="S55" s="158" t="s">
        <v>219</v>
      </c>
      <c r="T55" s="141" t="s">
        <v>224</v>
      </c>
      <c r="U55" s="141" t="s">
        <v>31</v>
      </c>
      <c r="V55" s="101" t="s">
        <v>220</v>
      </c>
      <c r="W55" s="156" t="s">
        <v>33</v>
      </c>
      <c r="X55" s="159"/>
    </row>
    <row r="56" spans="1:24" s="16" customFormat="1" ht="21.75" customHeight="1" x14ac:dyDescent="0.25">
      <c r="A56" s="141" t="s">
        <v>37</v>
      </c>
      <c r="B56" s="141" t="s">
        <v>51</v>
      </c>
      <c r="C56" s="141" t="s">
        <v>216</v>
      </c>
      <c r="D56" s="101" t="s">
        <v>478</v>
      </c>
      <c r="E56" s="101" t="s">
        <v>68</v>
      </c>
      <c r="F56" s="101"/>
      <c r="G56" s="101">
        <v>27001</v>
      </c>
      <c r="H56" s="50">
        <v>8079140</v>
      </c>
      <c r="I56" s="141" t="s">
        <v>217</v>
      </c>
      <c r="J56" s="141">
        <v>800049646</v>
      </c>
      <c r="K56" s="160" t="s">
        <v>223</v>
      </c>
      <c r="L56" s="161">
        <v>12062903</v>
      </c>
      <c r="M56" s="202">
        <v>0.16600000000000001</v>
      </c>
      <c r="N56" s="198">
        <f t="shared" si="0"/>
        <v>2002441.898</v>
      </c>
      <c r="O56" s="141" t="s">
        <v>27</v>
      </c>
      <c r="P56" s="141" t="s">
        <v>28</v>
      </c>
      <c r="Q56" s="162">
        <v>45017</v>
      </c>
      <c r="R56" s="162">
        <v>46843</v>
      </c>
      <c r="S56" s="158" t="s">
        <v>219</v>
      </c>
      <c r="T56" s="141" t="s">
        <v>224</v>
      </c>
      <c r="U56" s="141" t="s">
        <v>31</v>
      </c>
      <c r="V56" s="101" t="s">
        <v>221</v>
      </c>
      <c r="W56" s="156" t="s">
        <v>33</v>
      </c>
      <c r="X56" s="159"/>
    </row>
    <row r="57" spans="1:24" s="16" customFormat="1" ht="21.75" customHeight="1" x14ac:dyDescent="0.25">
      <c r="A57" s="141" t="s">
        <v>37</v>
      </c>
      <c r="B57" s="141" t="s">
        <v>51</v>
      </c>
      <c r="C57" s="141" t="s">
        <v>216</v>
      </c>
      <c r="D57" s="101" t="s">
        <v>478</v>
      </c>
      <c r="E57" s="101"/>
      <c r="F57" s="101"/>
      <c r="G57" s="101"/>
      <c r="H57" s="84"/>
      <c r="I57" s="141" t="s">
        <v>217</v>
      </c>
      <c r="J57" s="141">
        <v>800049646</v>
      </c>
      <c r="K57" s="160" t="s">
        <v>223</v>
      </c>
      <c r="L57" s="161">
        <v>12062903</v>
      </c>
      <c r="M57" s="202">
        <v>0.16600000000000001</v>
      </c>
      <c r="N57" s="198">
        <f t="shared" si="0"/>
        <v>2002441.898</v>
      </c>
      <c r="O57" s="141" t="s">
        <v>27</v>
      </c>
      <c r="P57" s="141" t="s">
        <v>28</v>
      </c>
      <c r="Q57" s="162">
        <v>45017</v>
      </c>
      <c r="R57" s="162">
        <v>46843</v>
      </c>
      <c r="S57" s="158" t="s">
        <v>219</v>
      </c>
      <c r="T57" s="141" t="s">
        <v>224</v>
      </c>
      <c r="U57" s="141" t="s">
        <v>31</v>
      </c>
      <c r="V57" s="101" t="s">
        <v>225</v>
      </c>
      <c r="W57" s="156" t="s">
        <v>33</v>
      </c>
      <c r="X57" s="159"/>
    </row>
    <row r="58" spans="1:24" s="16" customFormat="1" ht="22.9" customHeight="1" x14ac:dyDescent="0.25">
      <c r="A58" s="141" t="s">
        <v>37</v>
      </c>
      <c r="B58" s="141" t="s">
        <v>51</v>
      </c>
      <c r="C58" s="141" t="s">
        <v>226</v>
      </c>
      <c r="D58" s="101" t="s">
        <v>485</v>
      </c>
      <c r="E58" s="101" t="s">
        <v>40</v>
      </c>
      <c r="F58" s="101" t="s">
        <v>62</v>
      </c>
      <c r="G58" s="101">
        <v>27022</v>
      </c>
      <c r="H58" s="76">
        <v>1035500</v>
      </c>
      <c r="I58" s="141" t="s">
        <v>227</v>
      </c>
      <c r="J58" s="141">
        <v>12126612</v>
      </c>
      <c r="K58" s="160" t="s">
        <v>228</v>
      </c>
      <c r="L58" s="167">
        <v>6161341</v>
      </c>
      <c r="M58" s="202">
        <v>0.5</v>
      </c>
      <c r="N58" s="198">
        <f t="shared" si="0"/>
        <v>3080670.5</v>
      </c>
      <c r="O58" s="141" t="s">
        <v>27</v>
      </c>
      <c r="P58" s="141" t="s">
        <v>28</v>
      </c>
      <c r="Q58" s="162">
        <v>40452</v>
      </c>
      <c r="R58" s="162">
        <v>46661</v>
      </c>
      <c r="S58" s="163" t="s">
        <v>102</v>
      </c>
      <c r="T58" s="141" t="s">
        <v>229</v>
      </c>
      <c r="U58" s="156" t="s">
        <v>31</v>
      </c>
      <c r="V58" s="157" t="s">
        <v>230</v>
      </c>
      <c r="W58" s="156" t="s">
        <v>33</v>
      </c>
      <c r="X58" s="159"/>
    </row>
    <row r="59" spans="1:24" s="16" customFormat="1" ht="30" customHeight="1" x14ac:dyDescent="0.25">
      <c r="A59" s="141" t="s">
        <v>37</v>
      </c>
      <c r="B59" s="141" t="s">
        <v>51</v>
      </c>
      <c r="C59" s="141" t="s">
        <v>226</v>
      </c>
      <c r="D59" s="101" t="s">
        <v>485</v>
      </c>
      <c r="E59" s="101" t="s">
        <v>68</v>
      </c>
      <c r="F59" s="101"/>
      <c r="G59" s="101">
        <v>27001</v>
      </c>
      <c r="H59" s="77">
        <v>4141998</v>
      </c>
      <c r="I59" s="141" t="s">
        <v>227</v>
      </c>
      <c r="J59" s="141">
        <v>12126612</v>
      </c>
      <c r="K59" s="160" t="s">
        <v>228</v>
      </c>
      <c r="L59" s="167">
        <v>6161341</v>
      </c>
      <c r="M59" s="202">
        <v>0.5</v>
      </c>
      <c r="N59" s="198">
        <f t="shared" si="0"/>
        <v>3080670.5</v>
      </c>
      <c r="O59" s="141" t="s">
        <v>27</v>
      </c>
      <c r="P59" s="141" t="s">
        <v>28</v>
      </c>
      <c r="Q59" s="162">
        <v>40452</v>
      </c>
      <c r="R59" s="162">
        <v>46661</v>
      </c>
      <c r="S59" s="163" t="s">
        <v>102</v>
      </c>
      <c r="T59" s="141" t="s">
        <v>229</v>
      </c>
      <c r="U59" s="156" t="s">
        <v>31</v>
      </c>
      <c r="V59" s="157" t="s">
        <v>230</v>
      </c>
      <c r="W59" s="156" t="s">
        <v>33</v>
      </c>
      <c r="X59" s="159"/>
    </row>
    <row r="60" spans="1:24" s="16" customFormat="1" ht="39.6" customHeight="1" x14ac:dyDescent="0.25">
      <c r="A60" s="67" t="s">
        <v>37</v>
      </c>
      <c r="B60" s="17" t="s">
        <v>51</v>
      </c>
      <c r="C60" s="17" t="s">
        <v>231</v>
      </c>
      <c r="D60" s="17" t="s">
        <v>486</v>
      </c>
      <c r="E60" s="17" t="s">
        <v>40</v>
      </c>
      <c r="F60" s="17"/>
      <c r="G60" s="17">
        <v>27022</v>
      </c>
      <c r="H60" s="32">
        <v>655133</v>
      </c>
      <c r="I60" s="17" t="s">
        <v>232</v>
      </c>
      <c r="J60" s="17">
        <v>25284286</v>
      </c>
      <c r="K60" s="68" t="s">
        <v>233</v>
      </c>
      <c r="L60" s="18">
        <v>599430</v>
      </c>
      <c r="M60" s="204">
        <v>1</v>
      </c>
      <c r="N60" s="198">
        <f t="shared" si="0"/>
        <v>599430</v>
      </c>
      <c r="O60" s="17" t="s">
        <v>27</v>
      </c>
      <c r="P60" s="17" t="s">
        <v>28</v>
      </c>
      <c r="Q60" s="19">
        <v>43453</v>
      </c>
      <c r="R60" s="19">
        <v>45278</v>
      </c>
      <c r="S60" s="17" t="s">
        <v>46</v>
      </c>
      <c r="T60" s="17" t="s">
        <v>234</v>
      </c>
      <c r="U60" s="20" t="s">
        <v>235</v>
      </c>
      <c r="V60" s="91" t="s">
        <v>236</v>
      </c>
      <c r="W60" s="71" t="s">
        <v>96</v>
      </c>
      <c r="X60" s="29"/>
    </row>
    <row r="61" spans="1:24" s="16" customFormat="1" ht="36" x14ac:dyDescent="0.25">
      <c r="A61" s="101" t="s">
        <v>37</v>
      </c>
      <c r="B61" s="101" t="s">
        <v>51</v>
      </c>
      <c r="C61" s="101" t="s">
        <v>237</v>
      </c>
      <c r="D61" s="101" t="s">
        <v>486</v>
      </c>
      <c r="E61" s="101" t="s">
        <v>40</v>
      </c>
      <c r="F61" s="101" t="s">
        <v>201</v>
      </c>
      <c r="G61" s="101">
        <v>27022</v>
      </c>
      <c r="H61" s="76">
        <v>1700000</v>
      </c>
      <c r="I61" s="101" t="s">
        <v>238</v>
      </c>
      <c r="J61" s="101">
        <v>34540671</v>
      </c>
      <c r="K61" s="103" t="s">
        <v>239</v>
      </c>
      <c r="L61" s="104">
        <v>1879608</v>
      </c>
      <c r="M61" s="203">
        <v>1</v>
      </c>
      <c r="N61" s="198">
        <f t="shared" si="0"/>
        <v>1879608</v>
      </c>
      <c r="O61" s="101" t="s">
        <v>116</v>
      </c>
      <c r="P61" s="101" t="s">
        <v>28</v>
      </c>
      <c r="Q61" s="110">
        <v>45383</v>
      </c>
      <c r="R61" s="110">
        <v>46478</v>
      </c>
      <c r="S61" s="106" t="s">
        <v>240</v>
      </c>
      <c r="T61" s="101" t="s">
        <v>229</v>
      </c>
      <c r="U61" s="105" t="s">
        <v>235</v>
      </c>
      <c r="V61" s="116" t="s">
        <v>241</v>
      </c>
      <c r="W61" s="105" t="s">
        <v>33</v>
      </c>
      <c r="X61" s="108"/>
    </row>
    <row r="62" spans="1:24" s="16" customFormat="1" ht="22.5" customHeight="1" x14ac:dyDescent="0.25">
      <c r="A62" s="141" t="s">
        <v>37</v>
      </c>
      <c r="B62" s="141" t="s">
        <v>51</v>
      </c>
      <c r="C62" s="141" t="s">
        <v>168</v>
      </c>
      <c r="D62" s="101" t="s">
        <v>481</v>
      </c>
      <c r="E62" s="101" t="s">
        <v>40</v>
      </c>
      <c r="F62" s="101"/>
      <c r="G62" s="101">
        <v>27022</v>
      </c>
      <c r="H62" s="76">
        <v>478824</v>
      </c>
      <c r="I62" s="141" t="s">
        <v>242</v>
      </c>
      <c r="J62" s="141">
        <v>900295684</v>
      </c>
      <c r="K62" s="160" t="s">
        <v>243</v>
      </c>
      <c r="L62" s="161">
        <v>4776865</v>
      </c>
      <c r="M62" s="202">
        <v>0.5</v>
      </c>
      <c r="N62" s="198">
        <f t="shared" si="0"/>
        <v>2388432.5</v>
      </c>
      <c r="O62" s="141" t="s">
        <v>27</v>
      </c>
      <c r="P62" s="141" t="s">
        <v>44</v>
      </c>
      <c r="Q62" s="156"/>
      <c r="R62" s="156"/>
      <c r="S62" s="157" t="s">
        <v>57</v>
      </c>
      <c r="T62" s="156"/>
      <c r="U62" s="141" t="s">
        <v>128</v>
      </c>
      <c r="V62" s="173">
        <v>0.126</v>
      </c>
      <c r="W62" s="156" t="s">
        <v>33</v>
      </c>
      <c r="X62" s="108"/>
    </row>
    <row r="63" spans="1:24" s="16" customFormat="1" ht="29.45" customHeight="1" x14ac:dyDescent="0.25">
      <c r="A63" s="141" t="s">
        <v>37</v>
      </c>
      <c r="B63" s="141" t="s">
        <v>51</v>
      </c>
      <c r="C63" s="141" t="s">
        <v>168</v>
      </c>
      <c r="D63" s="101" t="s">
        <v>481</v>
      </c>
      <c r="E63" s="101" t="s">
        <v>68</v>
      </c>
      <c r="F63" s="101"/>
      <c r="G63" s="101">
        <v>27001</v>
      </c>
      <c r="H63" s="77">
        <v>1915296</v>
      </c>
      <c r="I63" s="141" t="s">
        <v>242</v>
      </c>
      <c r="J63" s="141">
        <v>900295684</v>
      </c>
      <c r="K63" s="160" t="s">
        <v>243</v>
      </c>
      <c r="L63" s="161">
        <v>4776865</v>
      </c>
      <c r="M63" s="202">
        <v>0.5</v>
      </c>
      <c r="N63" s="198">
        <f t="shared" si="0"/>
        <v>2388432.5</v>
      </c>
      <c r="O63" s="141" t="s">
        <v>27</v>
      </c>
      <c r="P63" s="141" t="s">
        <v>44</v>
      </c>
      <c r="Q63" s="156"/>
      <c r="R63" s="156"/>
      <c r="S63" s="157" t="s">
        <v>57</v>
      </c>
      <c r="T63" s="156"/>
      <c r="U63" s="141" t="s">
        <v>128</v>
      </c>
      <c r="V63" s="173">
        <v>0.126</v>
      </c>
      <c r="W63" s="156" t="s">
        <v>33</v>
      </c>
      <c r="X63" s="108"/>
    </row>
    <row r="64" spans="1:24" s="16" customFormat="1" ht="24" x14ac:dyDescent="0.25">
      <c r="A64" s="101" t="s">
        <v>37</v>
      </c>
      <c r="B64" s="101" t="s">
        <v>51</v>
      </c>
      <c r="C64" s="101" t="s">
        <v>244</v>
      </c>
      <c r="D64" s="101" t="s">
        <v>487</v>
      </c>
      <c r="E64" s="101" t="s">
        <v>245</v>
      </c>
      <c r="F64" s="101" t="s">
        <v>246</v>
      </c>
      <c r="G64" s="101">
        <v>41027</v>
      </c>
      <c r="H64" s="78">
        <v>31933100</v>
      </c>
      <c r="I64" s="101" t="s">
        <v>247</v>
      </c>
      <c r="J64" s="101">
        <v>1124190167</v>
      </c>
      <c r="K64" s="122" t="s">
        <v>248</v>
      </c>
      <c r="L64" s="115">
        <f>37896491+1500000</f>
        <v>39396491</v>
      </c>
      <c r="M64" s="203">
        <v>1</v>
      </c>
      <c r="N64" s="198">
        <f t="shared" si="0"/>
        <v>39396491</v>
      </c>
      <c r="O64" s="101" t="s">
        <v>27</v>
      </c>
      <c r="P64" s="101" t="s">
        <v>28</v>
      </c>
      <c r="Q64" s="110">
        <v>44562</v>
      </c>
      <c r="R64" s="110">
        <v>47483</v>
      </c>
      <c r="S64" s="111" t="s">
        <v>57</v>
      </c>
      <c r="T64" s="105" t="s">
        <v>171</v>
      </c>
      <c r="U64" s="105" t="s">
        <v>31</v>
      </c>
      <c r="V64" s="101" t="s">
        <v>249</v>
      </c>
      <c r="W64" s="105" t="s">
        <v>33</v>
      </c>
      <c r="X64" s="108"/>
    </row>
    <row r="65" spans="1:24" s="16" customFormat="1" ht="24" x14ac:dyDescent="0.25">
      <c r="A65" s="101" t="s">
        <v>37</v>
      </c>
      <c r="B65" s="101" t="s">
        <v>51</v>
      </c>
      <c r="C65" s="101" t="s">
        <v>244</v>
      </c>
      <c r="D65" s="101" t="s">
        <v>487</v>
      </c>
      <c r="E65" s="101" t="s">
        <v>245</v>
      </c>
      <c r="F65" s="101" t="s">
        <v>246</v>
      </c>
      <c r="G65" s="101">
        <v>41027</v>
      </c>
      <c r="H65" s="78">
        <v>26792600</v>
      </c>
      <c r="I65" s="101" t="s">
        <v>250</v>
      </c>
      <c r="J65" s="101">
        <v>1124190167</v>
      </c>
      <c r="K65" s="103" t="s">
        <v>248</v>
      </c>
      <c r="L65" s="104">
        <v>32348679</v>
      </c>
      <c r="M65" s="203">
        <v>1</v>
      </c>
      <c r="N65" s="198">
        <f t="shared" si="0"/>
        <v>32348679</v>
      </c>
      <c r="O65" s="101" t="s">
        <v>27</v>
      </c>
      <c r="P65" s="101" t="s">
        <v>28</v>
      </c>
      <c r="Q65" s="110">
        <v>44562</v>
      </c>
      <c r="R65" s="110">
        <v>46388</v>
      </c>
      <c r="S65" s="111" t="s">
        <v>57</v>
      </c>
      <c r="T65" s="105" t="s">
        <v>171</v>
      </c>
      <c r="U65" s="105" t="s">
        <v>31</v>
      </c>
      <c r="V65" s="101"/>
      <c r="W65" s="105" t="s">
        <v>33</v>
      </c>
      <c r="X65" s="108"/>
    </row>
    <row r="66" spans="1:24" s="16" customFormat="1" ht="36" x14ac:dyDescent="0.25">
      <c r="A66" s="101" t="s">
        <v>37</v>
      </c>
      <c r="B66" s="101" t="s">
        <v>51</v>
      </c>
      <c r="C66" s="101"/>
      <c r="D66" s="101" t="s">
        <v>484</v>
      </c>
      <c r="E66" s="101" t="s">
        <v>251</v>
      </c>
      <c r="F66" s="101" t="s">
        <v>252</v>
      </c>
      <c r="G66" s="101">
        <v>41090</v>
      </c>
      <c r="H66" s="76"/>
      <c r="I66" s="101" t="s">
        <v>253</v>
      </c>
      <c r="J66" s="101">
        <v>900154131</v>
      </c>
      <c r="K66" s="103" t="s">
        <v>254</v>
      </c>
      <c r="L66" s="123">
        <v>55.3</v>
      </c>
      <c r="M66" s="203">
        <v>1</v>
      </c>
      <c r="N66" s="198">
        <f t="shared" si="0"/>
        <v>55.3</v>
      </c>
      <c r="O66" s="101" t="s">
        <v>27</v>
      </c>
      <c r="P66" s="101" t="s">
        <v>117</v>
      </c>
      <c r="Q66" s="110">
        <v>44683</v>
      </c>
      <c r="R66" s="110">
        <v>47605</v>
      </c>
      <c r="S66" s="124" t="s">
        <v>92</v>
      </c>
      <c r="T66" s="105" t="s">
        <v>83</v>
      </c>
      <c r="U66" s="105" t="s">
        <v>31</v>
      </c>
      <c r="V66" s="125" t="s">
        <v>255</v>
      </c>
      <c r="W66" s="105" t="s">
        <v>33</v>
      </c>
      <c r="X66" s="108"/>
    </row>
    <row r="67" spans="1:24" s="16" customFormat="1" ht="27.6" customHeight="1" x14ac:dyDescent="0.25">
      <c r="A67" s="140" t="s">
        <v>37</v>
      </c>
      <c r="B67" s="138" t="s">
        <v>51</v>
      </c>
      <c r="C67" s="138" t="s">
        <v>256</v>
      </c>
      <c r="D67" s="17" t="s">
        <v>475</v>
      </c>
      <c r="E67" s="17" t="s">
        <v>40</v>
      </c>
      <c r="F67" s="17"/>
      <c r="G67" s="17">
        <v>27022</v>
      </c>
      <c r="H67" s="12">
        <v>9860254</v>
      </c>
      <c r="I67" s="174" t="s">
        <v>257</v>
      </c>
      <c r="J67" s="138">
        <v>860353433</v>
      </c>
      <c r="K67" s="143" t="s">
        <v>258</v>
      </c>
      <c r="L67" s="175">
        <v>62046405</v>
      </c>
      <c r="M67" s="207">
        <v>0.5</v>
      </c>
      <c r="N67" s="198">
        <f t="shared" si="0"/>
        <v>31023202.5</v>
      </c>
      <c r="O67" s="138" t="s">
        <v>27</v>
      </c>
      <c r="P67" s="138" t="s">
        <v>28</v>
      </c>
      <c r="Q67" s="155">
        <v>41913</v>
      </c>
      <c r="R67" s="155">
        <v>45931</v>
      </c>
      <c r="S67" s="153" t="s">
        <v>102</v>
      </c>
      <c r="T67" s="19">
        <v>45584</v>
      </c>
      <c r="U67" s="138" t="s">
        <v>259</v>
      </c>
      <c r="V67" s="138" t="s">
        <v>260</v>
      </c>
      <c r="W67" s="148" t="s">
        <v>96</v>
      </c>
      <c r="X67" s="146" t="s">
        <v>261</v>
      </c>
    </row>
    <row r="68" spans="1:24" s="16" customFormat="1" ht="32.25" customHeight="1" x14ac:dyDescent="0.25">
      <c r="A68" s="140" t="s">
        <v>37</v>
      </c>
      <c r="B68" s="138" t="s">
        <v>51</v>
      </c>
      <c r="C68" s="138" t="s">
        <v>256</v>
      </c>
      <c r="D68" s="101" t="s">
        <v>475</v>
      </c>
      <c r="E68" s="101" t="s">
        <v>68</v>
      </c>
      <c r="F68" s="101"/>
      <c r="G68" s="101">
        <v>27001</v>
      </c>
      <c r="H68" s="77">
        <v>39441015</v>
      </c>
      <c r="I68" s="174" t="s">
        <v>257</v>
      </c>
      <c r="J68" s="138">
        <v>860353433</v>
      </c>
      <c r="K68" s="143" t="s">
        <v>258</v>
      </c>
      <c r="L68" s="175">
        <v>62046405</v>
      </c>
      <c r="M68" s="207">
        <v>0.5</v>
      </c>
      <c r="N68" s="198">
        <f t="shared" ref="N68:N119" si="1">L68*M68</f>
        <v>31023202.5</v>
      </c>
      <c r="O68" s="138" t="s">
        <v>27</v>
      </c>
      <c r="P68" s="138" t="s">
        <v>28</v>
      </c>
      <c r="Q68" s="155">
        <v>41913</v>
      </c>
      <c r="R68" s="155">
        <v>45931</v>
      </c>
      <c r="S68" s="153" t="s">
        <v>102</v>
      </c>
      <c r="T68" s="101" t="s">
        <v>229</v>
      </c>
      <c r="U68" s="138" t="s">
        <v>259</v>
      </c>
      <c r="V68" s="138" t="s">
        <v>260</v>
      </c>
      <c r="W68" s="148" t="s">
        <v>96</v>
      </c>
      <c r="X68" s="146" t="s">
        <v>261</v>
      </c>
    </row>
    <row r="69" spans="1:24" s="16" customFormat="1" ht="36" x14ac:dyDescent="0.25">
      <c r="A69" s="101" t="s">
        <v>37</v>
      </c>
      <c r="B69" s="101" t="s">
        <v>51</v>
      </c>
      <c r="C69" s="101" t="s">
        <v>262</v>
      </c>
      <c r="D69" s="101" t="s">
        <v>488</v>
      </c>
      <c r="E69" s="101" t="s">
        <v>40</v>
      </c>
      <c r="F69" s="101"/>
      <c r="G69" s="101">
        <v>27022</v>
      </c>
      <c r="H69" s="78">
        <v>2004277</v>
      </c>
      <c r="I69" s="101" t="s">
        <v>263</v>
      </c>
      <c r="J69" s="101">
        <v>901703025</v>
      </c>
      <c r="K69" s="103" t="s">
        <v>264</v>
      </c>
      <c r="L69" s="115">
        <v>2434935</v>
      </c>
      <c r="M69" s="203">
        <v>1</v>
      </c>
      <c r="N69" s="198">
        <f t="shared" si="1"/>
        <v>2434935</v>
      </c>
      <c r="O69" s="101" t="s">
        <v>27</v>
      </c>
      <c r="P69" s="101" t="s">
        <v>28</v>
      </c>
      <c r="Q69" s="110">
        <v>44352</v>
      </c>
      <c r="R69" s="110">
        <v>46543</v>
      </c>
      <c r="S69" s="106" t="s">
        <v>45</v>
      </c>
      <c r="T69" s="101" t="s">
        <v>229</v>
      </c>
      <c r="U69" s="105" t="s">
        <v>265</v>
      </c>
      <c r="V69" s="105" t="s">
        <v>265</v>
      </c>
      <c r="W69" s="105" t="s">
        <v>50</v>
      </c>
      <c r="X69" s="112"/>
    </row>
    <row r="70" spans="1:24" s="16" customFormat="1" ht="24" x14ac:dyDescent="0.25">
      <c r="A70" s="101" t="s">
        <v>37</v>
      </c>
      <c r="B70" s="101" t="s">
        <v>51</v>
      </c>
      <c r="C70" s="101" t="s">
        <v>266</v>
      </c>
      <c r="D70" s="101" t="s">
        <v>475</v>
      </c>
      <c r="E70" s="101" t="s">
        <v>106</v>
      </c>
      <c r="F70" s="101"/>
      <c r="G70" s="101">
        <v>22001</v>
      </c>
      <c r="H70" s="78">
        <v>250000</v>
      </c>
      <c r="I70" s="101" t="s">
        <v>267</v>
      </c>
      <c r="J70" s="101">
        <v>800219404</v>
      </c>
      <c r="K70" s="103" t="s">
        <v>268</v>
      </c>
      <c r="L70" s="104">
        <v>307500</v>
      </c>
      <c r="M70" s="203">
        <v>1</v>
      </c>
      <c r="N70" s="198">
        <f t="shared" si="1"/>
        <v>307500</v>
      </c>
      <c r="O70" s="101" t="s">
        <v>27</v>
      </c>
      <c r="P70" s="101" t="s">
        <v>44</v>
      </c>
      <c r="Q70" s="105"/>
      <c r="R70" s="105"/>
      <c r="S70" s="105" t="s">
        <v>145</v>
      </c>
      <c r="T70" s="105"/>
      <c r="U70" s="101"/>
      <c r="V70" s="101" t="s">
        <v>155</v>
      </c>
      <c r="W70" s="105" t="s">
        <v>33</v>
      </c>
      <c r="X70" s="108"/>
    </row>
    <row r="71" spans="1:24" s="16" customFormat="1" ht="24" x14ac:dyDescent="0.25">
      <c r="A71" s="101" t="s">
        <v>37</v>
      </c>
      <c r="B71" s="101" t="s">
        <v>51</v>
      </c>
      <c r="C71" s="101" t="s">
        <v>266</v>
      </c>
      <c r="D71" s="101" t="s">
        <v>475</v>
      </c>
      <c r="E71" s="101" t="s">
        <v>106</v>
      </c>
      <c r="F71" s="101"/>
      <c r="G71" s="101">
        <v>22001</v>
      </c>
      <c r="H71" s="78">
        <v>250000</v>
      </c>
      <c r="I71" s="101" t="s">
        <v>269</v>
      </c>
      <c r="J71" s="101">
        <v>800219404</v>
      </c>
      <c r="K71" s="103" t="s">
        <v>268</v>
      </c>
      <c r="L71" s="114">
        <v>3000000</v>
      </c>
      <c r="M71" s="203">
        <v>1</v>
      </c>
      <c r="N71" s="198">
        <f t="shared" si="1"/>
        <v>3000000</v>
      </c>
      <c r="O71" s="101" t="s">
        <v>27</v>
      </c>
      <c r="P71" s="101" t="s">
        <v>44</v>
      </c>
      <c r="Q71" s="105"/>
      <c r="R71" s="105"/>
      <c r="S71" s="105" t="s">
        <v>145</v>
      </c>
      <c r="T71" s="105"/>
      <c r="U71" s="101"/>
      <c r="V71" s="101" t="s">
        <v>270</v>
      </c>
      <c r="W71" s="105" t="s">
        <v>33</v>
      </c>
      <c r="X71" s="108"/>
    </row>
    <row r="72" spans="1:24" s="16" customFormat="1" ht="24" x14ac:dyDescent="0.25">
      <c r="A72" s="101">
        <v>960000000</v>
      </c>
      <c r="B72" s="101" t="s">
        <v>22</v>
      </c>
      <c r="C72" s="101" t="s">
        <v>271</v>
      </c>
      <c r="D72" s="101" t="s">
        <v>474</v>
      </c>
      <c r="E72" s="101" t="s">
        <v>106</v>
      </c>
      <c r="F72" s="101"/>
      <c r="G72" s="101">
        <v>22001</v>
      </c>
      <c r="H72" s="78">
        <v>3104800</v>
      </c>
      <c r="I72" s="101" t="s">
        <v>272</v>
      </c>
      <c r="J72" s="101">
        <v>800066167</v>
      </c>
      <c r="K72" s="103" t="s">
        <v>273</v>
      </c>
      <c r="L72" s="104">
        <v>3284585</v>
      </c>
      <c r="M72" s="203">
        <v>1</v>
      </c>
      <c r="N72" s="198">
        <f t="shared" si="1"/>
        <v>3284585</v>
      </c>
      <c r="O72" s="101" t="s">
        <v>27</v>
      </c>
      <c r="P72" s="101" t="s">
        <v>44</v>
      </c>
      <c r="Q72" s="105"/>
      <c r="R72" s="105"/>
      <c r="S72" s="105" t="s">
        <v>240</v>
      </c>
      <c r="T72" s="105"/>
      <c r="U72" s="105" t="s">
        <v>274</v>
      </c>
      <c r="V72" s="101" t="s">
        <v>155</v>
      </c>
      <c r="W72" s="105" t="s">
        <v>33</v>
      </c>
      <c r="X72" s="108"/>
    </row>
    <row r="73" spans="1:24" s="16" customFormat="1" ht="22.5" customHeight="1" x14ac:dyDescent="0.25">
      <c r="A73" s="141">
        <v>960000000</v>
      </c>
      <c r="B73" s="141" t="s">
        <v>22</v>
      </c>
      <c r="C73" s="141" t="s">
        <v>271</v>
      </c>
      <c r="D73" s="101" t="s">
        <v>474</v>
      </c>
      <c r="E73" s="101" t="s">
        <v>149</v>
      </c>
      <c r="F73" s="101"/>
      <c r="G73" s="101">
        <v>11316</v>
      </c>
      <c r="H73" s="85">
        <v>135920</v>
      </c>
      <c r="I73" s="141" t="s">
        <v>275</v>
      </c>
      <c r="J73" s="141">
        <v>800066167</v>
      </c>
      <c r="K73" s="160" t="s">
        <v>273</v>
      </c>
      <c r="L73" s="161">
        <v>3500200</v>
      </c>
      <c r="M73" s="202">
        <v>0.33300000000000002</v>
      </c>
      <c r="N73" s="198">
        <f t="shared" si="1"/>
        <v>1165566.6000000001</v>
      </c>
      <c r="O73" s="141" t="s">
        <v>27</v>
      </c>
      <c r="P73" s="141" t="s">
        <v>44</v>
      </c>
      <c r="Q73" s="156"/>
      <c r="R73" s="156"/>
      <c r="S73" s="105" t="s">
        <v>240</v>
      </c>
      <c r="T73" s="156"/>
      <c r="U73" s="105" t="s">
        <v>274</v>
      </c>
      <c r="V73" s="141" t="s">
        <v>155</v>
      </c>
      <c r="W73" s="156" t="s">
        <v>33</v>
      </c>
      <c r="X73" s="108"/>
    </row>
    <row r="74" spans="1:24" s="16" customFormat="1" ht="15" customHeight="1" x14ac:dyDescent="0.25">
      <c r="A74" s="141">
        <v>960000000</v>
      </c>
      <c r="B74" s="141" t="s">
        <v>22</v>
      </c>
      <c r="C74" s="141" t="s">
        <v>271</v>
      </c>
      <c r="D74" s="101" t="s">
        <v>474</v>
      </c>
      <c r="E74" s="101" t="s">
        <v>68</v>
      </c>
      <c r="F74" s="101"/>
      <c r="G74" s="101">
        <v>11503</v>
      </c>
      <c r="H74" s="86">
        <v>135920</v>
      </c>
      <c r="I74" s="141" t="s">
        <v>275</v>
      </c>
      <c r="J74" s="141">
        <v>800066167</v>
      </c>
      <c r="K74" s="160" t="s">
        <v>273</v>
      </c>
      <c r="L74" s="161">
        <v>3500200</v>
      </c>
      <c r="M74" s="202">
        <v>0.33300000000000002</v>
      </c>
      <c r="N74" s="198">
        <f t="shared" si="1"/>
        <v>1165566.6000000001</v>
      </c>
      <c r="O74" s="141" t="s">
        <v>27</v>
      </c>
      <c r="P74" s="141" t="s">
        <v>44</v>
      </c>
      <c r="Q74" s="156"/>
      <c r="R74" s="156"/>
      <c r="S74" s="105" t="s">
        <v>240</v>
      </c>
      <c r="T74" s="156"/>
      <c r="U74" s="105"/>
      <c r="V74" s="141" t="s">
        <v>155</v>
      </c>
      <c r="W74" s="156" t="s">
        <v>33</v>
      </c>
      <c r="X74" s="108"/>
    </row>
    <row r="75" spans="1:24" s="16" customFormat="1" ht="15" customHeight="1" x14ac:dyDescent="0.25">
      <c r="A75" s="141">
        <v>960000000</v>
      </c>
      <c r="B75" s="141" t="s">
        <v>22</v>
      </c>
      <c r="C75" s="141" t="s">
        <v>271</v>
      </c>
      <c r="D75" s="101" t="s">
        <v>474</v>
      </c>
      <c r="E75" s="101" t="s">
        <v>214</v>
      </c>
      <c r="F75" s="101"/>
      <c r="G75" s="101">
        <v>13119</v>
      </c>
      <c r="H75" s="87">
        <v>2446560</v>
      </c>
      <c r="I75" s="141" t="s">
        <v>275</v>
      </c>
      <c r="J75" s="141">
        <v>800066167</v>
      </c>
      <c r="K75" s="160" t="s">
        <v>273</v>
      </c>
      <c r="L75" s="161">
        <v>3500200</v>
      </c>
      <c r="M75" s="202">
        <v>0.33300000000000002</v>
      </c>
      <c r="N75" s="198">
        <f t="shared" si="1"/>
        <v>1165566.6000000001</v>
      </c>
      <c r="O75" s="141" t="s">
        <v>27</v>
      </c>
      <c r="P75" s="141" t="s">
        <v>44</v>
      </c>
      <c r="Q75" s="156"/>
      <c r="R75" s="156"/>
      <c r="S75" s="105" t="s">
        <v>240</v>
      </c>
      <c r="T75" s="156"/>
      <c r="U75" s="105"/>
      <c r="V75" s="141" t="s">
        <v>155</v>
      </c>
      <c r="W75" s="156" t="s">
        <v>33</v>
      </c>
      <c r="X75" s="108"/>
    </row>
    <row r="76" spans="1:24" s="16" customFormat="1" ht="22.5" customHeight="1" x14ac:dyDescent="0.25">
      <c r="A76" s="141">
        <v>960000000</v>
      </c>
      <c r="B76" s="141" t="s">
        <v>22</v>
      </c>
      <c r="C76" s="141" t="s">
        <v>271</v>
      </c>
      <c r="D76" s="101" t="s">
        <v>474</v>
      </c>
      <c r="E76" s="101" t="s">
        <v>149</v>
      </c>
      <c r="F76" s="101"/>
      <c r="G76" s="101">
        <v>11316</v>
      </c>
      <c r="H76" s="85">
        <v>42940</v>
      </c>
      <c r="I76" s="141" t="s">
        <v>276</v>
      </c>
      <c r="J76" s="141">
        <v>800066167</v>
      </c>
      <c r="K76" s="160" t="s">
        <v>273</v>
      </c>
      <c r="L76" s="161">
        <v>1105800</v>
      </c>
      <c r="M76" s="202">
        <v>0.33300000000000002</v>
      </c>
      <c r="N76" s="198">
        <f t="shared" si="1"/>
        <v>368231.4</v>
      </c>
      <c r="O76" s="141" t="s">
        <v>27</v>
      </c>
      <c r="P76" s="141" t="s">
        <v>44</v>
      </c>
      <c r="Q76" s="156"/>
      <c r="R76" s="156"/>
      <c r="S76" s="105" t="s">
        <v>277</v>
      </c>
      <c r="T76" s="156"/>
      <c r="U76" s="105" t="s">
        <v>274</v>
      </c>
      <c r="V76" s="141" t="s">
        <v>155</v>
      </c>
      <c r="W76" s="156" t="s">
        <v>33</v>
      </c>
      <c r="X76" s="108"/>
    </row>
    <row r="77" spans="1:24" s="16" customFormat="1" ht="15" customHeight="1" x14ac:dyDescent="0.25">
      <c r="A77" s="141">
        <v>960000000</v>
      </c>
      <c r="B77" s="141" t="s">
        <v>22</v>
      </c>
      <c r="C77" s="141" t="s">
        <v>271</v>
      </c>
      <c r="D77" s="101" t="s">
        <v>474</v>
      </c>
      <c r="E77" s="101" t="s">
        <v>68</v>
      </c>
      <c r="F77" s="101"/>
      <c r="G77" s="101">
        <v>11503</v>
      </c>
      <c r="H77" s="86">
        <v>42940</v>
      </c>
      <c r="I77" s="141" t="s">
        <v>276</v>
      </c>
      <c r="J77" s="141">
        <v>800066167</v>
      </c>
      <c r="K77" s="160" t="s">
        <v>273</v>
      </c>
      <c r="L77" s="161">
        <v>1105800</v>
      </c>
      <c r="M77" s="202">
        <v>0.33300000000000002</v>
      </c>
      <c r="N77" s="198">
        <f t="shared" si="1"/>
        <v>368231.4</v>
      </c>
      <c r="O77" s="141" t="s">
        <v>27</v>
      </c>
      <c r="P77" s="141" t="s">
        <v>44</v>
      </c>
      <c r="Q77" s="156"/>
      <c r="R77" s="156"/>
      <c r="S77" s="105" t="s">
        <v>145</v>
      </c>
      <c r="T77" s="156"/>
      <c r="U77" s="105"/>
      <c r="V77" s="141" t="s">
        <v>155</v>
      </c>
      <c r="W77" s="156" t="s">
        <v>33</v>
      </c>
      <c r="X77" s="108"/>
    </row>
    <row r="78" spans="1:24" s="16" customFormat="1" ht="15" customHeight="1" x14ac:dyDescent="0.25">
      <c r="A78" s="141">
        <v>960000000</v>
      </c>
      <c r="B78" s="141" t="s">
        <v>22</v>
      </c>
      <c r="C78" s="141" t="s">
        <v>271</v>
      </c>
      <c r="D78" s="101" t="s">
        <v>474</v>
      </c>
      <c r="E78" s="101" t="s">
        <v>214</v>
      </c>
      <c r="F78" s="101"/>
      <c r="G78" s="101">
        <v>13119</v>
      </c>
      <c r="H78" s="87">
        <v>772920</v>
      </c>
      <c r="I78" s="141" t="s">
        <v>276</v>
      </c>
      <c r="J78" s="141">
        <v>800066167</v>
      </c>
      <c r="K78" s="160" t="s">
        <v>273</v>
      </c>
      <c r="L78" s="161">
        <v>1105800</v>
      </c>
      <c r="M78" s="202">
        <v>0.33300000000000002</v>
      </c>
      <c r="N78" s="198">
        <f t="shared" si="1"/>
        <v>368231.4</v>
      </c>
      <c r="O78" s="141" t="s">
        <v>27</v>
      </c>
      <c r="P78" s="141" t="s">
        <v>44</v>
      </c>
      <c r="Q78" s="156"/>
      <c r="R78" s="156"/>
      <c r="S78" s="101" t="s">
        <v>145</v>
      </c>
      <c r="T78" s="156"/>
      <c r="U78" s="105"/>
      <c r="V78" s="141" t="s">
        <v>155</v>
      </c>
      <c r="W78" s="156" t="s">
        <v>33</v>
      </c>
      <c r="X78" s="108"/>
    </row>
    <row r="79" spans="1:24" s="16" customFormat="1" ht="55.5" customHeight="1" x14ac:dyDescent="0.25">
      <c r="A79" s="176" t="s">
        <v>37</v>
      </c>
      <c r="B79" s="176" t="s">
        <v>38</v>
      </c>
      <c r="C79" s="101" t="s">
        <v>278</v>
      </c>
      <c r="D79" s="101" t="s">
        <v>489</v>
      </c>
      <c r="E79" s="141" t="s">
        <v>214</v>
      </c>
      <c r="F79" s="101"/>
      <c r="G79" s="141">
        <v>42020</v>
      </c>
      <c r="H79" s="177">
        <v>1940347</v>
      </c>
      <c r="I79" s="141" t="s">
        <v>279</v>
      </c>
      <c r="J79" s="141">
        <v>900370443</v>
      </c>
      <c r="K79" s="160" t="s">
        <v>280</v>
      </c>
      <c r="L79" s="161">
        <v>2480360</v>
      </c>
      <c r="M79" s="202">
        <v>0.5</v>
      </c>
      <c r="N79" s="198">
        <f t="shared" si="1"/>
        <v>1240180</v>
      </c>
      <c r="O79" s="141" t="s">
        <v>27</v>
      </c>
      <c r="P79" s="141" t="s">
        <v>44</v>
      </c>
      <c r="Q79" s="162">
        <v>44470</v>
      </c>
      <c r="R79" s="141" t="s">
        <v>281</v>
      </c>
      <c r="S79" s="101" t="s">
        <v>145</v>
      </c>
      <c r="T79" s="156" t="s">
        <v>281</v>
      </c>
      <c r="U79" s="141" t="s">
        <v>128</v>
      </c>
      <c r="V79" s="141"/>
      <c r="W79" s="156" t="s">
        <v>33</v>
      </c>
      <c r="X79" s="108"/>
    </row>
    <row r="80" spans="1:24" s="16" customFormat="1" ht="22.5" customHeight="1" x14ac:dyDescent="0.25">
      <c r="A80" s="176" t="s">
        <v>37</v>
      </c>
      <c r="B80" s="176" t="s">
        <v>38</v>
      </c>
      <c r="C80" s="101" t="s">
        <v>282</v>
      </c>
      <c r="D80" s="101" t="s">
        <v>489</v>
      </c>
      <c r="E80" s="141" t="s">
        <v>214</v>
      </c>
      <c r="F80" s="101"/>
      <c r="G80" s="141">
        <v>42020</v>
      </c>
      <c r="H80" s="178"/>
      <c r="I80" s="141" t="s">
        <v>279</v>
      </c>
      <c r="J80" s="141">
        <v>900370443</v>
      </c>
      <c r="K80" s="160" t="s">
        <v>280</v>
      </c>
      <c r="L80" s="161">
        <v>2480360</v>
      </c>
      <c r="M80" s="202">
        <v>0.5</v>
      </c>
      <c r="N80" s="198">
        <f t="shared" si="1"/>
        <v>1240180</v>
      </c>
      <c r="O80" s="141" t="s">
        <v>27</v>
      </c>
      <c r="P80" s="141" t="s">
        <v>44</v>
      </c>
      <c r="Q80" s="162">
        <v>44470</v>
      </c>
      <c r="R80" s="141" t="s">
        <v>281</v>
      </c>
      <c r="S80" s="101" t="s">
        <v>145</v>
      </c>
      <c r="T80" s="156" t="s">
        <v>281</v>
      </c>
      <c r="U80" s="141" t="s">
        <v>128</v>
      </c>
      <c r="V80" s="141"/>
      <c r="W80" s="156" t="s">
        <v>33</v>
      </c>
      <c r="X80" s="108"/>
    </row>
    <row r="81" spans="1:27" s="16" customFormat="1" ht="36" x14ac:dyDescent="0.25">
      <c r="A81" s="101" t="s">
        <v>37</v>
      </c>
      <c r="B81" s="101" t="s">
        <v>51</v>
      </c>
      <c r="C81" s="101" t="s">
        <v>69</v>
      </c>
      <c r="D81" s="101" t="s">
        <v>477</v>
      </c>
      <c r="E81" s="101" t="s">
        <v>68</v>
      </c>
      <c r="F81" s="101"/>
      <c r="G81" s="101">
        <v>27001</v>
      </c>
      <c r="H81" s="78">
        <v>8491313</v>
      </c>
      <c r="I81" s="101" t="s">
        <v>283</v>
      </c>
      <c r="J81" s="101">
        <v>901061800</v>
      </c>
      <c r="K81" s="103" t="s">
        <v>284</v>
      </c>
      <c r="L81" s="104">
        <v>13417331</v>
      </c>
      <c r="M81" s="203">
        <v>1</v>
      </c>
      <c r="N81" s="198">
        <f t="shared" si="1"/>
        <v>13417331</v>
      </c>
      <c r="O81" s="101" t="s">
        <v>27</v>
      </c>
      <c r="P81" s="101" t="s">
        <v>44</v>
      </c>
      <c r="Q81" s="110">
        <v>44243</v>
      </c>
      <c r="R81" s="110">
        <v>47895</v>
      </c>
      <c r="S81" s="101" t="s">
        <v>66</v>
      </c>
      <c r="T81" s="105" t="s">
        <v>73</v>
      </c>
      <c r="U81" s="101" t="s">
        <v>128</v>
      </c>
      <c r="V81" s="105"/>
      <c r="W81" s="105" t="s">
        <v>33</v>
      </c>
      <c r="X81" s="108"/>
    </row>
    <row r="82" spans="1:27" s="16" customFormat="1" ht="24" x14ac:dyDescent="0.25">
      <c r="A82" s="141" t="s">
        <v>37</v>
      </c>
      <c r="B82" s="141" t="s">
        <v>51</v>
      </c>
      <c r="C82" s="141" t="s">
        <v>285</v>
      </c>
      <c r="D82" s="101" t="s">
        <v>497</v>
      </c>
      <c r="E82" s="101" t="s">
        <v>149</v>
      </c>
      <c r="F82" s="101" t="s">
        <v>80</v>
      </c>
      <c r="G82" s="101">
        <v>11005</v>
      </c>
      <c r="H82" s="76">
        <v>5526037</v>
      </c>
      <c r="I82" s="141" t="s">
        <v>286</v>
      </c>
      <c r="J82" s="141">
        <v>901095420</v>
      </c>
      <c r="K82" s="160" t="s">
        <v>287</v>
      </c>
      <c r="L82" s="166">
        <v>110520750</v>
      </c>
      <c r="M82" s="202">
        <v>0.33300000000000002</v>
      </c>
      <c r="N82" s="198">
        <f t="shared" si="1"/>
        <v>36803409.75</v>
      </c>
      <c r="O82" s="141" t="s">
        <v>27</v>
      </c>
      <c r="P82" s="141" t="s">
        <v>28</v>
      </c>
      <c r="Q82" s="162">
        <v>43466</v>
      </c>
      <c r="R82" s="162">
        <v>46753</v>
      </c>
      <c r="S82" s="163" t="s">
        <v>57</v>
      </c>
      <c r="T82" s="156" t="s">
        <v>288</v>
      </c>
      <c r="U82" s="156"/>
      <c r="V82" s="156"/>
      <c r="W82" s="156" t="s">
        <v>33</v>
      </c>
      <c r="X82" s="172" t="s">
        <v>289</v>
      </c>
    </row>
    <row r="83" spans="1:27" s="16" customFormat="1" ht="12" customHeight="1" x14ac:dyDescent="0.25">
      <c r="A83" s="141" t="s">
        <v>37</v>
      </c>
      <c r="B83" s="141" t="s">
        <v>51</v>
      </c>
      <c r="C83" s="141" t="s">
        <v>285</v>
      </c>
      <c r="D83" s="101" t="s">
        <v>497</v>
      </c>
      <c r="E83" s="101" t="s">
        <v>68</v>
      </c>
      <c r="F83" s="101"/>
      <c r="G83" s="101">
        <v>27001</v>
      </c>
      <c r="H83" s="50">
        <v>5526038</v>
      </c>
      <c r="I83" s="141" t="s">
        <v>286</v>
      </c>
      <c r="J83" s="141">
        <v>901095420</v>
      </c>
      <c r="K83" s="160" t="s">
        <v>287</v>
      </c>
      <c r="L83" s="166">
        <v>110520750</v>
      </c>
      <c r="M83" s="202">
        <v>0.33300000000000002</v>
      </c>
      <c r="N83" s="198">
        <f t="shared" si="1"/>
        <v>36803409.75</v>
      </c>
      <c r="O83" s="141" t="s">
        <v>27</v>
      </c>
      <c r="P83" s="141" t="s">
        <v>28</v>
      </c>
      <c r="Q83" s="162">
        <v>43466</v>
      </c>
      <c r="R83" s="162">
        <v>46753</v>
      </c>
      <c r="S83" s="163" t="s">
        <v>57</v>
      </c>
      <c r="T83" s="156" t="s">
        <v>288</v>
      </c>
      <c r="U83" s="156"/>
      <c r="V83" s="156"/>
      <c r="W83" s="156" t="s">
        <v>33</v>
      </c>
      <c r="X83" s="172" t="s">
        <v>289</v>
      </c>
      <c r="Y83" s="191"/>
      <c r="Z83" s="193"/>
    </row>
    <row r="84" spans="1:27" s="16" customFormat="1" ht="22.5" customHeight="1" x14ac:dyDescent="0.25">
      <c r="A84" s="141" t="s">
        <v>37</v>
      </c>
      <c r="B84" s="141" t="s">
        <v>51</v>
      </c>
      <c r="C84" s="141" t="s">
        <v>285</v>
      </c>
      <c r="D84" s="101" t="s">
        <v>497</v>
      </c>
      <c r="E84" s="101" t="s">
        <v>214</v>
      </c>
      <c r="F84" s="101"/>
      <c r="G84" s="101">
        <v>42020</v>
      </c>
      <c r="H84" s="77">
        <v>99468675</v>
      </c>
      <c r="I84" s="141" t="s">
        <v>286</v>
      </c>
      <c r="J84" s="141">
        <v>901095420</v>
      </c>
      <c r="K84" s="160" t="s">
        <v>287</v>
      </c>
      <c r="L84" s="166">
        <v>110520750</v>
      </c>
      <c r="M84" s="202">
        <v>0.33300000000000002</v>
      </c>
      <c r="N84" s="198">
        <f t="shared" si="1"/>
        <v>36803409.75</v>
      </c>
      <c r="O84" s="141" t="s">
        <v>27</v>
      </c>
      <c r="P84" s="141" t="s">
        <v>28</v>
      </c>
      <c r="Q84" s="162">
        <v>43466</v>
      </c>
      <c r="R84" s="162">
        <v>46753</v>
      </c>
      <c r="S84" s="163" t="s">
        <v>57</v>
      </c>
      <c r="T84" s="156" t="s">
        <v>288</v>
      </c>
      <c r="U84" s="156"/>
      <c r="V84" s="156"/>
      <c r="W84" s="156" t="s">
        <v>33</v>
      </c>
      <c r="X84" s="172" t="s">
        <v>289</v>
      </c>
      <c r="Y84" s="192"/>
      <c r="Z84" s="194"/>
    </row>
    <row r="85" spans="1:27" s="16" customFormat="1" ht="29.25" customHeight="1" x14ac:dyDescent="0.25">
      <c r="A85" s="141" t="s">
        <v>37</v>
      </c>
      <c r="B85" s="141" t="s">
        <v>51</v>
      </c>
      <c r="C85" s="141" t="s">
        <v>290</v>
      </c>
      <c r="D85" s="101" t="s">
        <v>490</v>
      </c>
      <c r="E85" s="101" t="s">
        <v>291</v>
      </c>
      <c r="F85" s="101" t="s">
        <v>62</v>
      </c>
      <c r="G85" s="101">
        <v>3099</v>
      </c>
      <c r="H85" s="76">
        <v>4637184</v>
      </c>
      <c r="I85" s="141" t="s">
        <v>292</v>
      </c>
      <c r="J85" s="141">
        <v>860350196</v>
      </c>
      <c r="K85" s="160" t="s">
        <v>293</v>
      </c>
      <c r="L85" s="179">
        <v>28814193</v>
      </c>
      <c r="M85" s="202">
        <v>0.5</v>
      </c>
      <c r="N85" s="198">
        <f t="shared" si="1"/>
        <v>14407096.5</v>
      </c>
      <c r="O85" s="141" t="s">
        <v>27</v>
      </c>
      <c r="P85" s="141" t="s">
        <v>28</v>
      </c>
      <c r="Q85" s="162">
        <v>41760</v>
      </c>
      <c r="R85" s="110">
        <v>46143</v>
      </c>
      <c r="S85" s="163" t="s">
        <v>92</v>
      </c>
      <c r="T85" s="181" t="s">
        <v>294</v>
      </c>
      <c r="U85" s="141" t="s">
        <v>295</v>
      </c>
      <c r="V85" s="180" t="s">
        <v>296</v>
      </c>
      <c r="W85" s="156" t="s">
        <v>33</v>
      </c>
      <c r="X85" s="188"/>
      <c r="Y85" s="41"/>
      <c r="Z85" s="41"/>
    </row>
    <row r="86" spans="1:27" s="16" customFormat="1" ht="38.450000000000003" customHeight="1" x14ac:dyDescent="0.25">
      <c r="A86" s="141" t="s">
        <v>37</v>
      </c>
      <c r="B86" s="141" t="s">
        <v>51</v>
      </c>
      <c r="C86" s="141" t="s">
        <v>290</v>
      </c>
      <c r="D86" s="101" t="s">
        <v>490</v>
      </c>
      <c r="E86" s="101" t="s">
        <v>291</v>
      </c>
      <c r="F86" s="101"/>
      <c r="G86" s="101">
        <v>3099</v>
      </c>
      <c r="H86" s="77">
        <v>18548736</v>
      </c>
      <c r="I86" s="141" t="s">
        <v>292</v>
      </c>
      <c r="J86" s="141">
        <v>860350196</v>
      </c>
      <c r="K86" s="160" t="s">
        <v>293</v>
      </c>
      <c r="L86" s="179">
        <v>28814193</v>
      </c>
      <c r="M86" s="202">
        <v>0.5</v>
      </c>
      <c r="N86" s="198">
        <f t="shared" si="1"/>
        <v>14407096.5</v>
      </c>
      <c r="O86" s="141" t="s">
        <v>27</v>
      </c>
      <c r="P86" s="141" t="s">
        <v>28</v>
      </c>
      <c r="Q86" s="162">
        <v>41760</v>
      </c>
      <c r="R86" s="110">
        <v>46143</v>
      </c>
      <c r="S86" s="163" t="s">
        <v>92</v>
      </c>
      <c r="T86" s="181" t="s">
        <v>294</v>
      </c>
      <c r="U86" s="141" t="s">
        <v>295</v>
      </c>
      <c r="V86" s="180" t="s">
        <v>296</v>
      </c>
      <c r="W86" s="156" t="s">
        <v>33</v>
      </c>
      <c r="X86" s="188"/>
      <c r="Y86" s="42"/>
      <c r="Z86" s="42"/>
      <c r="AA86" s="42"/>
    </row>
    <row r="87" spans="1:27" s="16" customFormat="1" ht="48" x14ac:dyDescent="0.25">
      <c r="A87" s="101" t="s">
        <v>37</v>
      </c>
      <c r="B87" s="101" t="s">
        <v>51</v>
      </c>
      <c r="C87" s="101" t="s">
        <v>297</v>
      </c>
      <c r="D87" s="101" t="s">
        <v>484</v>
      </c>
      <c r="E87" s="101" t="s">
        <v>40</v>
      </c>
      <c r="F87" s="101" t="s">
        <v>298</v>
      </c>
      <c r="G87" s="101">
        <v>27022</v>
      </c>
      <c r="H87" s="78">
        <v>1709744</v>
      </c>
      <c r="I87" s="101" t="s">
        <v>299</v>
      </c>
      <c r="J87" s="101">
        <v>900140920</v>
      </c>
      <c r="K87" s="103" t="s">
        <v>300</v>
      </c>
      <c r="L87" s="115">
        <v>2347869</v>
      </c>
      <c r="M87" s="203">
        <v>0.33300000000000002</v>
      </c>
      <c r="N87" s="198">
        <f t="shared" si="1"/>
        <v>781840.37700000009</v>
      </c>
      <c r="O87" s="101" t="s">
        <v>27</v>
      </c>
      <c r="P87" s="102" t="s">
        <v>28</v>
      </c>
      <c r="Q87" s="110">
        <v>44092</v>
      </c>
      <c r="R87" s="110">
        <v>46283</v>
      </c>
      <c r="S87" s="111" t="s">
        <v>301</v>
      </c>
      <c r="T87" s="101" t="s">
        <v>93</v>
      </c>
      <c r="U87" s="105" t="s">
        <v>302</v>
      </c>
      <c r="V87" s="105" t="s">
        <v>302</v>
      </c>
      <c r="W87" s="105" t="s">
        <v>33</v>
      </c>
      <c r="X87" s="112" t="s">
        <v>303</v>
      </c>
    </row>
    <row r="88" spans="1:27" s="16" customFormat="1" ht="48" x14ac:dyDescent="0.25">
      <c r="A88" s="101" t="s">
        <v>37</v>
      </c>
      <c r="B88" s="101" t="s">
        <v>51</v>
      </c>
      <c r="C88" s="101" t="s">
        <v>297</v>
      </c>
      <c r="D88" s="101" t="s">
        <v>484</v>
      </c>
      <c r="E88" s="101" t="s">
        <v>40</v>
      </c>
      <c r="F88" s="101" t="s">
        <v>298</v>
      </c>
      <c r="G88" s="101">
        <v>27022</v>
      </c>
      <c r="H88" s="78">
        <v>1709744</v>
      </c>
      <c r="I88" s="101" t="s">
        <v>299</v>
      </c>
      <c r="J88" s="101">
        <v>800090108</v>
      </c>
      <c r="K88" s="103" t="s">
        <v>304</v>
      </c>
      <c r="L88" s="115">
        <v>2347869</v>
      </c>
      <c r="M88" s="203">
        <v>0.33300000000000002</v>
      </c>
      <c r="N88" s="198">
        <f t="shared" si="1"/>
        <v>781840.37700000009</v>
      </c>
      <c r="O88" s="101" t="s">
        <v>27</v>
      </c>
      <c r="P88" s="102" t="s">
        <v>28</v>
      </c>
      <c r="Q88" s="110">
        <v>44092</v>
      </c>
      <c r="R88" s="110">
        <v>46283</v>
      </c>
      <c r="S88" s="111" t="s">
        <v>301</v>
      </c>
      <c r="T88" s="101" t="s">
        <v>93</v>
      </c>
      <c r="U88" s="105" t="s">
        <v>302</v>
      </c>
      <c r="V88" s="105" t="s">
        <v>302</v>
      </c>
      <c r="W88" s="105" t="s">
        <v>33</v>
      </c>
      <c r="X88" s="112" t="s">
        <v>303</v>
      </c>
    </row>
    <row r="89" spans="1:27" s="16" customFormat="1" ht="48" x14ac:dyDescent="0.25">
      <c r="A89" s="101" t="s">
        <v>37</v>
      </c>
      <c r="B89" s="101" t="s">
        <v>51</v>
      </c>
      <c r="C89" s="101" t="s">
        <v>297</v>
      </c>
      <c r="D89" s="101" t="s">
        <v>484</v>
      </c>
      <c r="E89" s="101" t="s">
        <v>40</v>
      </c>
      <c r="F89" s="101" t="s">
        <v>298</v>
      </c>
      <c r="G89" s="101">
        <v>27022</v>
      </c>
      <c r="H89" s="78">
        <v>1709744</v>
      </c>
      <c r="I89" s="101" t="s">
        <v>299</v>
      </c>
      <c r="J89" s="101">
        <v>800251043</v>
      </c>
      <c r="K89" s="103" t="s">
        <v>305</v>
      </c>
      <c r="L89" s="115">
        <v>2347869</v>
      </c>
      <c r="M89" s="203">
        <v>0.33300000000000002</v>
      </c>
      <c r="N89" s="198">
        <f t="shared" si="1"/>
        <v>781840.37700000009</v>
      </c>
      <c r="O89" s="101" t="s">
        <v>27</v>
      </c>
      <c r="P89" s="102" t="s">
        <v>28</v>
      </c>
      <c r="Q89" s="110">
        <v>44092</v>
      </c>
      <c r="R89" s="110">
        <v>46283</v>
      </c>
      <c r="S89" s="111" t="s">
        <v>301</v>
      </c>
      <c r="T89" s="101" t="s">
        <v>93</v>
      </c>
      <c r="U89" s="105" t="s">
        <v>302</v>
      </c>
      <c r="V89" s="105" t="s">
        <v>302</v>
      </c>
      <c r="W89" s="105" t="s">
        <v>33</v>
      </c>
      <c r="X89" s="112" t="s">
        <v>303</v>
      </c>
    </row>
    <row r="90" spans="1:27" s="16" customFormat="1" ht="36" x14ac:dyDescent="0.25">
      <c r="A90" s="101">
        <v>940000001</v>
      </c>
      <c r="B90" s="101" t="s">
        <v>22</v>
      </c>
      <c r="C90" s="101" t="s">
        <v>306</v>
      </c>
      <c r="D90" s="101" t="s">
        <v>491</v>
      </c>
      <c r="E90" s="101" t="s">
        <v>307</v>
      </c>
      <c r="F90" s="101"/>
      <c r="G90" s="101">
        <v>11802</v>
      </c>
      <c r="H90" s="88">
        <v>1901160</v>
      </c>
      <c r="I90" s="101" t="s">
        <v>308</v>
      </c>
      <c r="J90" s="101">
        <v>1003259471</v>
      </c>
      <c r="K90" s="103" t="s">
        <v>309</v>
      </c>
      <c r="L90" s="115">
        <v>2472374</v>
      </c>
      <c r="M90" s="203">
        <v>1</v>
      </c>
      <c r="N90" s="198">
        <f>L90*M90</f>
        <v>2472374</v>
      </c>
      <c r="O90" s="101" t="s">
        <v>27</v>
      </c>
      <c r="P90" s="101" t="s">
        <v>28</v>
      </c>
      <c r="Q90" s="110">
        <v>44392</v>
      </c>
      <c r="R90" s="110">
        <v>46266</v>
      </c>
      <c r="S90" s="111" t="s">
        <v>301</v>
      </c>
      <c r="T90" s="101" t="s">
        <v>310</v>
      </c>
      <c r="U90" s="101" t="s">
        <v>311</v>
      </c>
      <c r="V90" s="105" t="s">
        <v>31</v>
      </c>
      <c r="W90" s="105" t="s">
        <v>33</v>
      </c>
      <c r="X90" s="112" t="s">
        <v>303</v>
      </c>
    </row>
    <row r="91" spans="1:27" s="16" customFormat="1" ht="48" x14ac:dyDescent="0.25">
      <c r="A91" s="101" t="s">
        <v>37</v>
      </c>
      <c r="B91" s="101" t="s">
        <v>51</v>
      </c>
      <c r="C91" s="113"/>
      <c r="D91" s="113" t="s">
        <v>492</v>
      </c>
      <c r="E91" s="101" t="s">
        <v>89</v>
      </c>
      <c r="F91" s="101" t="s">
        <v>201</v>
      </c>
      <c r="G91" s="101">
        <v>21018</v>
      </c>
      <c r="H91" s="78">
        <v>1818000</v>
      </c>
      <c r="I91" s="101" t="s">
        <v>312</v>
      </c>
      <c r="J91" s="101">
        <v>42094326</v>
      </c>
      <c r="K91" s="103" t="s">
        <v>313</v>
      </c>
      <c r="L91" s="199">
        <v>4675446</v>
      </c>
      <c r="M91" s="203">
        <v>1</v>
      </c>
      <c r="N91" s="198">
        <f t="shared" si="1"/>
        <v>4675446</v>
      </c>
      <c r="O91" s="101" t="s">
        <v>27</v>
      </c>
      <c r="P91" s="101" t="s">
        <v>28</v>
      </c>
      <c r="Q91" s="110">
        <v>43709</v>
      </c>
      <c r="R91" s="110">
        <v>46266</v>
      </c>
      <c r="S91" s="111" t="s">
        <v>301</v>
      </c>
      <c r="T91" s="101" t="s">
        <v>314</v>
      </c>
      <c r="U91" s="101" t="s">
        <v>315</v>
      </c>
      <c r="V91" s="101" t="s">
        <v>316</v>
      </c>
      <c r="W91" s="105" t="s">
        <v>33</v>
      </c>
      <c r="X91" s="112" t="s">
        <v>303</v>
      </c>
    </row>
    <row r="92" spans="1:27" s="16" customFormat="1" ht="48" x14ac:dyDescent="0.25">
      <c r="A92" s="101">
        <v>940000001</v>
      </c>
      <c r="B92" s="101" t="s">
        <v>22</v>
      </c>
      <c r="C92" s="101" t="s">
        <v>317</v>
      </c>
      <c r="D92" s="101" t="s">
        <v>492</v>
      </c>
      <c r="E92" s="101" t="s">
        <v>89</v>
      </c>
      <c r="F92" s="101" t="s">
        <v>201</v>
      </c>
      <c r="G92" s="101">
        <v>12339</v>
      </c>
      <c r="H92" s="88">
        <v>800000</v>
      </c>
      <c r="I92" s="101" t="s">
        <v>318</v>
      </c>
      <c r="J92" s="101">
        <v>37839304</v>
      </c>
      <c r="K92" s="103" t="s">
        <v>319</v>
      </c>
      <c r="L92" s="114">
        <v>800000</v>
      </c>
      <c r="M92" s="203">
        <v>1</v>
      </c>
      <c r="N92" s="198">
        <f t="shared" si="1"/>
        <v>800000</v>
      </c>
      <c r="O92" s="101" t="s">
        <v>27</v>
      </c>
      <c r="P92" s="101" t="s">
        <v>28</v>
      </c>
      <c r="Q92" s="110">
        <v>43608</v>
      </c>
      <c r="R92" s="110">
        <v>46530</v>
      </c>
      <c r="S92" s="111" t="s">
        <v>92</v>
      </c>
      <c r="T92" s="101" t="s">
        <v>314</v>
      </c>
      <c r="U92" s="101" t="s">
        <v>320</v>
      </c>
      <c r="V92" s="125" t="s">
        <v>321</v>
      </c>
      <c r="W92" s="105" t="s">
        <v>33</v>
      </c>
      <c r="X92" s="108"/>
    </row>
    <row r="93" spans="1:27" s="16" customFormat="1" ht="60" x14ac:dyDescent="0.25">
      <c r="A93" s="101" t="s">
        <v>37</v>
      </c>
      <c r="B93" s="101" t="s">
        <v>51</v>
      </c>
      <c r="C93" s="101" t="s">
        <v>322</v>
      </c>
      <c r="D93" s="101" t="s">
        <v>493</v>
      </c>
      <c r="E93" s="101" t="s">
        <v>323</v>
      </c>
      <c r="F93" s="101" t="s">
        <v>246</v>
      </c>
      <c r="G93" s="101">
        <v>41030</v>
      </c>
      <c r="H93" s="78">
        <v>28904288</v>
      </c>
      <c r="I93" s="101" t="s">
        <v>324</v>
      </c>
      <c r="J93" s="101">
        <v>820000045</v>
      </c>
      <c r="K93" s="103" t="s">
        <v>325</v>
      </c>
      <c r="L93" s="115">
        <v>37588769</v>
      </c>
      <c r="M93" s="203">
        <v>1</v>
      </c>
      <c r="N93" s="198">
        <f t="shared" si="1"/>
        <v>37588769</v>
      </c>
      <c r="O93" s="101" t="s">
        <v>27</v>
      </c>
      <c r="P93" s="101" t="s">
        <v>28</v>
      </c>
      <c r="Q93" s="110">
        <v>39693</v>
      </c>
      <c r="R93" s="110">
        <v>46267</v>
      </c>
      <c r="S93" s="111" t="s">
        <v>301</v>
      </c>
      <c r="T93" s="101" t="s">
        <v>326</v>
      </c>
      <c r="U93" s="101" t="s">
        <v>320</v>
      </c>
      <c r="V93" s="125" t="s">
        <v>327</v>
      </c>
      <c r="W93" s="105" t="s">
        <v>33</v>
      </c>
      <c r="X93" s="190" t="s">
        <v>328</v>
      </c>
    </row>
    <row r="94" spans="1:27" s="16" customFormat="1" ht="37.5" customHeight="1" x14ac:dyDescent="0.25">
      <c r="A94" s="141" t="s">
        <v>37</v>
      </c>
      <c r="B94" s="141" t="s">
        <v>51</v>
      </c>
      <c r="C94" s="141" t="s">
        <v>329</v>
      </c>
      <c r="D94" s="101" t="s">
        <v>494</v>
      </c>
      <c r="E94" s="141" t="s">
        <v>330</v>
      </c>
      <c r="F94" s="101" t="s">
        <v>246</v>
      </c>
      <c r="G94" s="141">
        <v>41005</v>
      </c>
      <c r="H94" s="186">
        <v>34815892</v>
      </c>
      <c r="I94" s="141" t="s">
        <v>331</v>
      </c>
      <c r="J94" s="141">
        <v>901521959</v>
      </c>
      <c r="K94" s="160" t="s">
        <v>332</v>
      </c>
      <c r="L94" s="161">
        <v>42066452</v>
      </c>
      <c r="M94" s="202">
        <v>0.5</v>
      </c>
      <c r="N94" s="198">
        <f t="shared" si="1"/>
        <v>21033226</v>
      </c>
      <c r="O94" s="141" t="s">
        <v>27</v>
      </c>
      <c r="P94" s="141" t="s">
        <v>117</v>
      </c>
      <c r="Q94" s="101" t="s">
        <v>333</v>
      </c>
      <c r="R94" s="162">
        <v>46595</v>
      </c>
      <c r="S94" s="163" t="s">
        <v>57</v>
      </c>
      <c r="T94" s="156" t="s">
        <v>190</v>
      </c>
      <c r="U94" s="156" t="s">
        <v>334</v>
      </c>
      <c r="V94" s="156" t="s">
        <v>31</v>
      </c>
      <c r="W94" s="156" t="s">
        <v>33</v>
      </c>
      <c r="X94" s="108"/>
      <c r="Y94" s="42"/>
    </row>
    <row r="95" spans="1:27" s="16" customFormat="1" ht="39" customHeight="1" x14ac:dyDescent="0.25">
      <c r="A95" s="141" t="s">
        <v>37</v>
      </c>
      <c r="B95" s="141" t="s">
        <v>51</v>
      </c>
      <c r="C95" s="141" t="s">
        <v>329</v>
      </c>
      <c r="D95" s="101" t="s">
        <v>494</v>
      </c>
      <c r="E95" s="141" t="s">
        <v>330</v>
      </c>
      <c r="F95" s="101"/>
      <c r="G95" s="141">
        <v>41005</v>
      </c>
      <c r="H95" s="187"/>
      <c r="I95" s="141" t="s">
        <v>331</v>
      </c>
      <c r="J95" s="141">
        <v>901521959</v>
      </c>
      <c r="K95" s="160" t="s">
        <v>332</v>
      </c>
      <c r="L95" s="161">
        <v>42066452</v>
      </c>
      <c r="M95" s="202">
        <v>0.5</v>
      </c>
      <c r="N95" s="198">
        <f t="shared" si="1"/>
        <v>21033226</v>
      </c>
      <c r="O95" s="141" t="s">
        <v>27</v>
      </c>
      <c r="P95" s="141" t="s">
        <v>117</v>
      </c>
      <c r="Q95" s="101" t="s">
        <v>335</v>
      </c>
      <c r="R95" s="162">
        <v>46595</v>
      </c>
      <c r="S95" s="163" t="s">
        <v>57</v>
      </c>
      <c r="T95" s="156" t="s">
        <v>190</v>
      </c>
      <c r="U95" s="156" t="s">
        <v>334</v>
      </c>
      <c r="V95" s="156" t="s">
        <v>31</v>
      </c>
      <c r="W95" s="156" t="s">
        <v>33</v>
      </c>
      <c r="X95" s="108"/>
    </row>
    <row r="96" spans="1:27" s="16" customFormat="1" ht="39" customHeight="1" x14ac:dyDescent="0.25">
      <c r="A96" s="141" t="s">
        <v>37</v>
      </c>
      <c r="B96" s="141" t="s">
        <v>51</v>
      </c>
      <c r="C96" s="141" t="s">
        <v>329</v>
      </c>
      <c r="D96" s="101" t="s">
        <v>494</v>
      </c>
      <c r="E96" s="141" t="s">
        <v>330</v>
      </c>
      <c r="F96" s="101" t="s">
        <v>246</v>
      </c>
      <c r="G96" s="141">
        <v>41005</v>
      </c>
      <c r="H96" s="186">
        <v>6147440</v>
      </c>
      <c r="I96" s="182" t="s">
        <v>336</v>
      </c>
      <c r="J96" s="141">
        <v>901521959</v>
      </c>
      <c r="K96" s="160" t="s">
        <v>332</v>
      </c>
      <c r="L96" s="161">
        <v>7427683</v>
      </c>
      <c r="M96" s="202">
        <v>0.5</v>
      </c>
      <c r="N96" s="198">
        <f t="shared" si="1"/>
        <v>3713841.5</v>
      </c>
      <c r="O96" s="141" t="s">
        <v>27</v>
      </c>
      <c r="P96" s="141" t="s">
        <v>117</v>
      </c>
      <c r="Q96" s="101" t="s">
        <v>333</v>
      </c>
      <c r="R96" s="162">
        <v>46595</v>
      </c>
      <c r="S96" s="163" t="s">
        <v>158</v>
      </c>
      <c r="T96" s="156" t="s">
        <v>190</v>
      </c>
      <c r="U96" s="156" t="s">
        <v>334</v>
      </c>
      <c r="V96" s="156" t="s">
        <v>31</v>
      </c>
      <c r="W96" s="156" t="s">
        <v>33</v>
      </c>
      <c r="X96" s="108"/>
      <c r="Y96" s="42"/>
    </row>
    <row r="97" spans="1:25" s="16" customFormat="1" ht="39" customHeight="1" x14ac:dyDescent="0.25">
      <c r="A97" s="141" t="s">
        <v>37</v>
      </c>
      <c r="B97" s="141" t="s">
        <v>51</v>
      </c>
      <c r="C97" s="141" t="s">
        <v>329</v>
      </c>
      <c r="D97" s="101" t="s">
        <v>494</v>
      </c>
      <c r="E97" s="141" t="s">
        <v>330</v>
      </c>
      <c r="F97" s="101"/>
      <c r="G97" s="141">
        <v>41005</v>
      </c>
      <c r="H97" s="187"/>
      <c r="I97" s="182" t="s">
        <v>336</v>
      </c>
      <c r="J97" s="141">
        <v>901521959</v>
      </c>
      <c r="K97" s="160" t="s">
        <v>332</v>
      </c>
      <c r="L97" s="161">
        <v>7427683</v>
      </c>
      <c r="M97" s="202">
        <v>0.5</v>
      </c>
      <c r="N97" s="198">
        <f t="shared" si="1"/>
        <v>3713841.5</v>
      </c>
      <c r="O97" s="141" t="s">
        <v>27</v>
      </c>
      <c r="P97" s="141" t="s">
        <v>117</v>
      </c>
      <c r="Q97" s="101" t="s">
        <v>335</v>
      </c>
      <c r="R97" s="162">
        <v>46595</v>
      </c>
      <c r="S97" s="163" t="s">
        <v>158</v>
      </c>
      <c r="T97" s="156" t="s">
        <v>190</v>
      </c>
      <c r="U97" s="156" t="s">
        <v>334</v>
      </c>
      <c r="V97" s="156" t="s">
        <v>31</v>
      </c>
      <c r="W97" s="156" t="s">
        <v>33</v>
      </c>
      <c r="X97" s="108"/>
    </row>
    <row r="98" spans="1:25" s="16" customFormat="1" ht="34.15" customHeight="1" x14ac:dyDescent="0.25">
      <c r="A98" s="65" t="s">
        <v>37</v>
      </c>
      <c r="B98" s="21" t="s">
        <v>51</v>
      </c>
      <c r="C98" s="21" t="s">
        <v>329</v>
      </c>
      <c r="D98" s="21" t="s">
        <v>494</v>
      </c>
      <c r="E98" s="21" t="s">
        <v>330</v>
      </c>
      <c r="F98" s="21"/>
      <c r="G98" s="21">
        <v>41005</v>
      </c>
      <c r="H98" s="26">
        <v>10000000</v>
      </c>
      <c r="I98" s="21" t="s">
        <v>337</v>
      </c>
      <c r="J98" s="21">
        <v>901521959</v>
      </c>
      <c r="K98" s="66" t="s">
        <v>332</v>
      </c>
      <c r="L98" s="93">
        <v>10928000</v>
      </c>
      <c r="M98" s="205">
        <v>1</v>
      </c>
      <c r="N98" s="198">
        <f t="shared" si="1"/>
        <v>10928000</v>
      </c>
      <c r="O98" s="21" t="s">
        <v>27</v>
      </c>
      <c r="P98" s="21" t="s">
        <v>117</v>
      </c>
      <c r="Q98" s="23">
        <v>44986</v>
      </c>
      <c r="R98" s="23">
        <v>45717</v>
      </c>
      <c r="S98" s="17" t="s">
        <v>219</v>
      </c>
      <c r="T98" s="24" t="s">
        <v>338</v>
      </c>
      <c r="U98" s="24" t="s">
        <v>334</v>
      </c>
      <c r="V98" s="24" t="s">
        <v>31</v>
      </c>
      <c r="W98" s="95" t="s">
        <v>96</v>
      </c>
      <c r="X98" s="29"/>
      <c r="Y98" s="42"/>
    </row>
    <row r="99" spans="1:25" s="16" customFormat="1" ht="34.15" customHeight="1" x14ac:dyDescent="0.25">
      <c r="A99" s="11" t="s">
        <v>37</v>
      </c>
      <c r="B99" s="3" t="s">
        <v>51</v>
      </c>
      <c r="C99" s="3" t="s">
        <v>329</v>
      </c>
      <c r="D99" s="3" t="s">
        <v>494</v>
      </c>
      <c r="E99" s="3" t="s">
        <v>330</v>
      </c>
      <c r="F99" s="3" t="s">
        <v>246</v>
      </c>
      <c r="G99" s="3">
        <v>41005</v>
      </c>
      <c r="H99" s="26">
        <v>8075000</v>
      </c>
      <c r="I99" s="3" t="s">
        <v>339</v>
      </c>
      <c r="J99" s="3">
        <v>901521959</v>
      </c>
      <c r="K99" s="13" t="s">
        <v>332</v>
      </c>
      <c r="L99" s="12">
        <v>8075000</v>
      </c>
      <c r="M99" s="201">
        <v>1</v>
      </c>
      <c r="N99" s="198">
        <f t="shared" si="1"/>
        <v>8075000</v>
      </c>
      <c r="O99" s="3" t="s">
        <v>27</v>
      </c>
      <c r="P99" s="3" t="s">
        <v>117</v>
      </c>
      <c r="Q99" s="3" t="s">
        <v>77</v>
      </c>
      <c r="R99" s="14">
        <v>46296</v>
      </c>
      <c r="S99" s="63" t="s">
        <v>102</v>
      </c>
      <c r="T99" s="15" t="s">
        <v>340</v>
      </c>
      <c r="U99" s="15" t="s">
        <v>341</v>
      </c>
      <c r="V99" s="15" t="s">
        <v>341</v>
      </c>
      <c r="W99" s="4" t="s">
        <v>96</v>
      </c>
      <c r="X99" s="29"/>
    </row>
    <row r="100" spans="1:25" s="16" customFormat="1" ht="24" x14ac:dyDescent="0.25">
      <c r="A100" s="101" t="s">
        <v>37</v>
      </c>
      <c r="B100" s="101" t="s">
        <v>51</v>
      </c>
      <c r="C100" s="101" t="s">
        <v>342</v>
      </c>
      <c r="D100" s="101" t="s">
        <v>483</v>
      </c>
      <c r="E100" s="101" t="s">
        <v>68</v>
      </c>
      <c r="F100" s="101" t="s">
        <v>54</v>
      </c>
      <c r="G100" s="101">
        <v>27001</v>
      </c>
      <c r="H100" s="78">
        <v>710494</v>
      </c>
      <c r="I100" s="101" t="s">
        <v>343</v>
      </c>
      <c r="J100" s="101">
        <v>890803285</v>
      </c>
      <c r="K100" s="103" t="s">
        <v>344</v>
      </c>
      <c r="L100" s="115">
        <v>816805</v>
      </c>
      <c r="M100" s="203">
        <v>1</v>
      </c>
      <c r="N100" s="198">
        <f t="shared" si="1"/>
        <v>816805</v>
      </c>
      <c r="O100" s="101" t="s">
        <v>27</v>
      </c>
      <c r="P100" s="101" t="s">
        <v>117</v>
      </c>
      <c r="Q100" s="110">
        <v>45942</v>
      </c>
      <c r="R100" s="110">
        <v>46307</v>
      </c>
      <c r="S100" s="111" t="s">
        <v>102</v>
      </c>
      <c r="T100" s="113" t="s">
        <v>58</v>
      </c>
      <c r="U100" s="113"/>
      <c r="V100" s="105" t="s">
        <v>31</v>
      </c>
      <c r="W100" s="105" t="s">
        <v>33</v>
      </c>
      <c r="X100" s="108"/>
    </row>
    <row r="101" spans="1:25" s="16" customFormat="1" ht="36" x14ac:dyDescent="0.25">
      <c r="A101" s="101" t="s">
        <v>37</v>
      </c>
      <c r="B101" s="101" t="s">
        <v>51</v>
      </c>
      <c r="C101" s="101" t="s">
        <v>345</v>
      </c>
      <c r="D101" s="101" t="s">
        <v>484</v>
      </c>
      <c r="E101" s="101" t="s">
        <v>106</v>
      </c>
      <c r="F101" s="101"/>
      <c r="G101" s="101">
        <v>22001</v>
      </c>
      <c r="H101" s="78">
        <v>227563</v>
      </c>
      <c r="I101" s="101" t="s">
        <v>346</v>
      </c>
      <c r="J101" s="101">
        <v>900698570</v>
      </c>
      <c r="K101" s="103" t="s">
        <v>347</v>
      </c>
      <c r="L101" s="104">
        <v>335294</v>
      </c>
      <c r="M101" s="203">
        <v>1</v>
      </c>
      <c r="N101" s="198">
        <f t="shared" si="1"/>
        <v>335294</v>
      </c>
      <c r="O101" s="101" t="s">
        <v>27</v>
      </c>
      <c r="P101" s="101" t="s">
        <v>44</v>
      </c>
      <c r="Q101" s="101" t="s">
        <v>77</v>
      </c>
      <c r="R101" s="101" t="s">
        <v>77</v>
      </c>
      <c r="S101" s="107" t="s">
        <v>66</v>
      </c>
      <c r="T101" s="113" t="s">
        <v>103</v>
      </c>
      <c r="U101" s="102" t="s">
        <v>311</v>
      </c>
      <c r="V101" s="102"/>
      <c r="W101" s="105" t="s">
        <v>33</v>
      </c>
      <c r="X101" s="108"/>
    </row>
    <row r="102" spans="1:25" s="16" customFormat="1" ht="36" x14ac:dyDescent="0.25">
      <c r="A102" s="101" t="s">
        <v>37</v>
      </c>
      <c r="B102" s="101" t="s">
        <v>38</v>
      </c>
      <c r="C102" s="101" t="s">
        <v>348</v>
      </c>
      <c r="D102" s="101" t="s">
        <v>475</v>
      </c>
      <c r="E102" s="101" t="s">
        <v>40</v>
      </c>
      <c r="F102" s="101" t="s">
        <v>41</v>
      </c>
      <c r="G102" s="101">
        <v>27022</v>
      </c>
      <c r="H102" s="78">
        <v>1974403</v>
      </c>
      <c r="I102" s="101" t="s">
        <v>349</v>
      </c>
      <c r="J102" s="101">
        <v>830144366</v>
      </c>
      <c r="K102" s="103" t="s">
        <v>350</v>
      </c>
      <c r="L102" s="115">
        <v>2711510</v>
      </c>
      <c r="M102" s="203">
        <v>1</v>
      </c>
      <c r="N102" s="198">
        <f t="shared" si="1"/>
        <v>2711510</v>
      </c>
      <c r="O102" s="101" t="s">
        <v>27</v>
      </c>
      <c r="P102" s="101" t="s">
        <v>44</v>
      </c>
      <c r="Q102" s="126">
        <v>44470</v>
      </c>
      <c r="R102" s="126" t="s">
        <v>351</v>
      </c>
      <c r="S102" s="111" t="s">
        <v>102</v>
      </c>
      <c r="T102" s="109" t="s">
        <v>340</v>
      </c>
      <c r="U102" s="101" t="s">
        <v>352</v>
      </c>
      <c r="V102" s="101" t="s">
        <v>353</v>
      </c>
      <c r="W102" s="105" t="s">
        <v>33</v>
      </c>
      <c r="X102" s="112" t="s">
        <v>354</v>
      </c>
    </row>
    <row r="103" spans="1:25" s="16" customFormat="1" ht="36" x14ac:dyDescent="0.25">
      <c r="A103" s="101" t="s">
        <v>37</v>
      </c>
      <c r="B103" s="101" t="s">
        <v>38</v>
      </c>
      <c r="C103" s="101" t="s">
        <v>348</v>
      </c>
      <c r="D103" s="101" t="s">
        <v>475</v>
      </c>
      <c r="E103" s="101" t="s">
        <v>40</v>
      </c>
      <c r="F103" s="101" t="s">
        <v>41</v>
      </c>
      <c r="G103" s="101">
        <v>27022</v>
      </c>
      <c r="H103" s="78">
        <v>352000</v>
      </c>
      <c r="I103" s="101" t="s">
        <v>355</v>
      </c>
      <c r="J103" s="101">
        <v>830144366</v>
      </c>
      <c r="K103" s="103" t="s">
        <v>350</v>
      </c>
      <c r="L103" s="127">
        <v>351300</v>
      </c>
      <c r="M103" s="206">
        <v>1</v>
      </c>
      <c r="N103" s="198">
        <f t="shared" si="1"/>
        <v>351300</v>
      </c>
      <c r="O103" s="101" t="s">
        <v>27</v>
      </c>
      <c r="P103" s="101" t="s">
        <v>28</v>
      </c>
      <c r="Q103" s="126">
        <v>44470</v>
      </c>
      <c r="R103" s="126">
        <v>46418</v>
      </c>
      <c r="S103" s="111" t="s">
        <v>102</v>
      </c>
      <c r="T103" s="105"/>
      <c r="U103" s="101"/>
      <c r="V103" s="105" t="s">
        <v>356</v>
      </c>
      <c r="W103" s="105" t="s">
        <v>33</v>
      </c>
      <c r="X103" s="112"/>
    </row>
    <row r="104" spans="1:25" s="16" customFormat="1" ht="36" x14ac:dyDescent="0.25">
      <c r="A104" s="101" t="s">
        <v>37</v>
      </c>
      <c r="B104" s="101" t="s">
        <v>51</v>
      </c>
      <c r="C104" s="101" t="s">
        <v>357</v>
      </c>
      <c r="D104" s="101" t="s">
        <v>475</v>
      </c>
      <c r="E104" s="101" t="s">
        <v>40</v>
      </c>
      <c r="F104" s="101" t="s">
        <v>358</v>
      </c>
      <c r="G104" s="101">
        <v>27022</v>
      </c>
      <c r="H104" s="78">
        <v>11362738</v>
      </c>
      <c r="I104" s="101" t="s">
        <v>359</v>
      </c>
      <c r="J104" s="101">
        <v>800251463</v>
      </c>
      <c r="K104" s="103" t="s">
        <v>360</v>
      </c>
      <c r="L104" s="115">
        <v>16029489</v>
      </c>
      <c r="M104" s="203">
        <v>1</v>
      </c>
      <c r="N104" s="198">
        <f t="shared" si="1"/>
        <v>16029489</v>
      </c>
      <c r="O104" s="101" t="s">
        <v>27</v>
      </c>
      <c r="P104" s="101" t="s">
        <v>65</v>
      </c>
      <c r="Q104" s="126">
        <v>44136</v>
      </c>
      <c r="R104" s="126">
        <v>46326</v>
      </c>
      <c r="S104" s="111" t="s">
        <v>102</v>
      </c>
      <c r="T104" s="105" t="s">
        <v>288</v>
      </c>
      <c r="U104" s="101" t="s">
        <v>315</v>
      </c>
      <c r="V104" s="116" t="s">
        <v>361</v>
      </c>
      <c r="W104" s="105" t="s">
        <v>33</v>
      </c>
      <c r="X104" s="112" t="s">
        <v>362</v>
      </c>
    </row>
    <row r="105" spans="1:25" s="16" customFormat="1" ht="36" x14ac:dyDescent="0.25">
      <c r="A105" s="101" t="s">
        <v>37</v>
      </c>
      <c r="B105" s="101" t="s">
        <v>51</v>
      </c>
      <c r="C105" s="101" t="s">
        <v>357</v>
      </c>
      <c r="D105" s="101" t="s">
        <v>475</v>
      </c>
      <c r="E105" s="101" t="s">
        <v>40</v>
      </c>
      <c r="F105" s="101" t="s">
        <v>358</v>
      </c>
      <c r="G105" s="101">
        <v>27022</v>
      </c>
      <c r="H105" s="78">
        <v>1596000</v>
      </c>
      <c r="I105" s="101" t="s">
        <v>363</v>
      </c>
      <c r="J105" s="101">
        <v>800251463</v>
      </c>
      <c r="K105" s="103" t="s">
        <v>360</v>
      </c>
      <c r="L105" s="104">
        <v>2590000</v>
      </c>
      <c r="M105" s="203">
        <v>1</v>
      </c>
      <c r="N105" s="198">
        <f t="shared" si="1"/>
        <v>2590000</v>
      </c>
      <c r="O105" s="101" t="s">
        <v>27</v>
      </c>
      <c r="P105" s="101" t="s">
        <v>65</v>
      </c>
      <c r="Q105" s="110">
        <v>44136</v>
      </c>
      <c r="R105" s="110">
        <v>46326</v>
      </c>
      <c r="S105" s="111" t="s">
        <v>57</v>
      </c>
      <c r="T105" s="105" t="s">
        <v>288</v>
      </c>
      <c r="U105" s="101" t="s">
        <v>364</v>
      </c>
      <c r="V105" s="128" t="s">
        <v>365</v>
      </c>
      <c r="W105" s="105" t="s">
        <v>50</v>
      </c>
      <c r="X105" s="108"/>
    </row>
    <row r="106" spans="1:25" s="16" customFormat="1" ht="38.450000000000003" customHeight="1" x14ac:dyDescent="0.25">
      <c r="A106" s="65" t="s">
        <v>37</v>
      </c>
      <c r="B106" s="21" t="s">
        <v>51</v>
      </c>
      <c r="C106" s="21" t="s">
        <v>366</v>
      </c>
      <c r="D106" s="21" t="s">
        <v>495</v>
      </c>
      <c r="E106" s="21" t="s">
        <v>291</v>
      </c>
      <c r="F106" s="58" t="s">
        <v>201</v>
      </c>
      <c r="G106" s="21">
        <v>3099</v>
      </c>
      <c r="H106" s="26">
        <v>7168640</v>
      </c>
      <c r="I106" s="21" t="s">
        <v>367</v>
      </c>
      <c r="J106" s="21">
        <v>901296806</v>
      </c>
      <c r="K106" s="66" t="s">
        <v>368</v>
      </c>
      <c r="L106" s="64" t="s">
        <v>369</v>
      </c>
      <c r="M106" s="205">
        <v>1</v>
      </c>
      <c r="N106" s="198">
        <f t="shared" si="1"/>
        <v>8661556</v>
      </c>
      <c r="O106" s="21" t="s">
        <v>27</v>
      </c>
      <c r="P106" s="21" t="s">
        <v>28</v>
      </c>
      <c r="Q106" s="23">
        <v>44089</v>
      </c>
      <c r="R106" s="23">
        <v>46280</v>
      </c>
      <c r="S106" s="62" t="s">
        <v>57</v>
      </c>
      <c r="T106" s="21" t="s">
        <v>370</v>
      </c>
      <c r="U106" s="21" t="s">
        <v>371</v>
      </c>
      <c r="V106" s="24" t="s">
        <v>31</v>
      </c>
      <c r="W106" s="47" t="s">
        <v>96</v>
      </c>
      <c r="X106" s="29"/>
    </row>
    <row r="107" spans="1:25" s="16" customFormat="1" ht="48" customHeight="1" x14ac:dyDescent="0.25">
      <c r="A107" s="11" t="s">
        <v>37</v>
      </c>
      <c r="B107" s="3" t="s">
        <v>51</v>
      </c>
      <c r="C107" s="3" t="s">
        <v>366</v>
      </c>
      <c r="D107" s="3" t="s">
        <v>495</v>
      </c>
      <c r="E107" s="3" t="s">
        <v>291</v>
      </c>
      <c r="F107" s="58" t="s">
        <v>201</v>
      </c>
      <c r="G107" s="3">
        <v>3099</v>
      </c>
      <c r="H107" s="26">
        <v>1691522</v>
      </c>
      <c r="I107" s="15" t="s">
        <v>372</v>
      </c>
      <c r="J107" s="3">
        <v>901296806</v>
      </c>
      <c r="K107" s="13" t="s">
        <v>368</v>
      </c>
      <c r="L107" s="61">
        <v>2387800</v>
      </c>
      <c r="M107" s="201">
        <v>1</v>
      </c>
      <c r="N107" s="198">
        <f t="shared" si="1"/>
        <v>2387800</v>
      </c>
      <c r="O107" s="3" t="s">
        <v>27</v>
      </c>
      <c r="P107" s="3" t="s">
        <v>28</v>
      </c>
      <c r="Q107" s="14">
        <v>44089</v>
      </c>
      <c r="R107" s="14">
        <v>46280</v>
      </c>
      <c r="S107" s="63" t="s">
        <v>57</v>
      </c>
      <c r="T107" s="3" t="s">
        <v>370</v>
      </c>
      <c r="U107" s="3" t="s">
        <v>364</v>
      </c>
      <c r="V107" s="90" t="s">
        <v>373</v>
      </c>
      <c r="W107" s="4" t="s">
        <v>96</v>
      </c>
      <c r="X107" s="29"/>
    </row>
    <row r="108" spans="1:25" s="16" customFormat="1" ht="48" x14ac:dyDescent="0.25">
      <c r="A108" s="101" t="s">
        <v>37</v>
      </c>
      <c r="B108" s="101" t="s">
        <v>51</v>
      </c>
      <c r="C108" s="101" t="s">
        <v>366</v>
      </c>
      <c r="D108" s="101" t="s">
        <v>495</v>
      </c>
      <c r="E108" s="101" t="s">
        <v>291</v>
      </c>
      <c r="F108" s="101" t="s">
        <v>201</v>
      </c>
      <c r="G108" s="101">
        <v>3099</v>
      </c>
      <c r="H108" s="78"/>
      <c r="I108" s="101" t="s">
        <v>367</v>
      </c>
      <c r="J108" s="101">
        <v>901296806</v>
      </c>
      <c r="K108" s="103" t="s">
        <v>368</v>
      </c>
      <c r="L108" s="104">
        <v>7540789</v>
      </c>
      <c r="M108" s="203">
        <v>1</v>
      </c>
      <c r="N108" s="198">
        <f t="shared" si="1"/>
        <v>7540789</v>
      </c>
      <c r="O108" s="101" t="s">
        <v>374</v>
      </c>
      <c r="P108" s="101" t="s">
        <v>117</v>
      </c>
      <c r="Q108" s="110">
        <v>46120</v>
      </c>
      <c r="R108" s="110">
        <v>47216</v>
      </c>
      <c r="S108" s="111" t="s">
        <v>57</v>
      </c>
      <c r="T108" s="101" t="s">
        <v>288</v>
      </c>
      <c r="U108" s="101" t="s">
        <v>31</v>
      </c>
      <c r="V108" s="128" t="s">
        <v>375</v>
      </c>
      <c r="W108" s="105" t="s">
        <v>33</v>
      </c>
      <c r="X108" s="108"/>
    </row>
    <row r="109" spans="1:25" s="16" customFormat="1" ht="48" x14ac:dyDescent="0.25">
      <c r="A109" s="101" t="s">
        <v>37</v>
      </c>
      <c r="B109" s="101" t="s">
        <v>51</v>
      </c>
      <c r="C109" s="101" t="s">
        <v>366</v>
      </c>
      <c r="D109" s="101" t="s">
        <v>495</v>
      </c>
      <c r="E109" s="101" t="s">
        <v>291</v>
      </c>
      <c r="F109" s="101" t="s">
        <v>201</v>
      </c>
      <c r="G109" s="101">
        <v>3099</v>
      </c>
      <c r="H109" s="78"/>
      <c r="I109" s="105" t="s">
        <v>372</v>
      </c>
      <c r="J109" s="101">
        <v>901296806</v>
      </c>
      <c r="K109" s="103" t="s">
        <v>368</v>
      </c>
      <c r="L109" s="104">
        <v>2078819</v>
      </c>
      <c r="M109" s="203">
        <v>1</v>
      </c>
      <c r="N109" s="198">
        <f t="shared" si="1"/>
        <v>2078819</v>
      </c>
      <c r="O109" s="101" t="s">
        <v>374</v>
      </c>
      <c r="P109" s="101" t="s">
        <v>117</v>
      </c>
      <c r="Q109" s="110">
        <v>46120</v>
      </c>
      <c r="R109" s="110">
        <v>47216</v>
      </c>
      <c r="S109" s="111" t="s">
        <v>57</v>
      </c>
      <c r="T109" s="101" t="s">
        <v>288</v>
      </c>
      <c r="U109" s="101" t="s">
        <v>31</v>
      </c>
      <c r="V109" s="128" t="s">
        <v>375</v>
      </c>
      <c r="W109" s="105" t="s">
        <v>33</v>
      </c>
      <c r="X109" s="108"/>
    </row>
    <row r="110" spans="1:25" s="16" customFormat="1" ht="24" x14ac:dyDescent="0.25">
      <c r="A110" s="101" t="s">
        <v>97</v>
      </c>
      <c r="B110" s="101" t="s">
        <v>51</v>
      </c>
      <c r="C110" s="113" t="s">
        <v>376</v>
      </c>
      <c r="D110" s="113" t="s">
        <v>475</v>
      </c>
      <c r="E110" s="101" t="s">
        <v>40</v>
      </c>
      <c r="F110" s="101" t="s">
        <v>41</v>
      </c>
      <c r="G110" s="113">
        <v>21021</v>
      </c>
      <c r="H110" s="89"/>
      <c r="I110" s="102" t="s">
        <v>377</v>
      </c>
      <c r="J110" s="102">
        <v>901320142</v>
      </c>
      <c r="K110" s="120" t="s">
        <v>378</v>
      </c>
      <c r="L110" s="121">
        <v>5271667</v>
      </c>
      <c r="M110" s="203">
        <v>1</v>
      </c>
      <c r="N110" s="198">
        <f t="shared" si="1"/>
        <v>5271667</v>
      </c>
      <c r="O110" s="101" t="s">
        <v>27</v>
      </c>
      <c r="P110" s="102" t="s">
        <v>28</v>
      </c>
      <c r="Q110" s="119">
        <v>45231</v>
      </c>
      <c r="R110" s="119">
        <v>46327</v>
      </c>
      <c r="S110" s="117" t="s">
        <v>113</v>
      </c>
      <c r="T110" s="113" t="s">
        <v>58</v>
      </c>
      <c r="U110" s="101" t="s">
        <v>379</v>
      </c>
      <c r="V110" s="129" t="s">
        <v>380</v>
      </c>
      <c r="W110" s="113" t="s">
        <v>33</v>
      </c>
      <c r="X110" s="108" t="s">
        <v>381</v>
      </c>
    </row>
    <row r="111" spans="1:25" s="16" customFormat="1" ht="36" x14ac:dyDescent="0.25">
      <c r="A111" s="101" t="s">
        <v>97</v>
      </c>
      <c r="B111" s="101" t="s">
        <v>51</v>
      </c>
      <c r="C111" s="113" t="s">
        <v>376</v>
      </c>
      <c r="D111" s="113" t="s">
        <v>475</v>
      </c>
      <c r="E111" s="101" t="s">
        <v>40</v>
      </c>
      <c r="F111" s="101" t="s">
        <v>41</v>
      </c>
      <c r="G111" s="113">
        <v>21021</v>
      </c>
      <c r="H111" s="89"/>
      <c r="I111" s="102" t="s">
        <v>382</v>
      </c>
      <c r="J111" s="102">
        <v>901320142</v>
      </c>
      <c r="K111" s="120" t="s">
        <v>378</v>
      </c>
      <c r="L111" s="127">
        <v>1380682</v>
      </c>
      <c r="M111" s="203">
        <v>1</v>
      </c>
      <c r="N111" s="198">
        <f t="shared" si="1"/>
        <v>1380682</v>
      </c>
      <c r="O111" s="101" t="s">
        <v>27</v>
      </c>
      <c r="P111" s="102" t="s">
        <v>28</v>
      </c>
      <c r="Q111" s="119">
        <v>45231</v>
      </c>
      <c r="R111" s="119">
        <v>46327</v>
      </c>
      <c r="S111" s="106" t="s">
        <v>57</v>
      </c>
      <c r="T111" s="113" t="s">
        <v>58</v>
      </c>
      <c r="U111" s="101" t="s">
        <v>379</v>
      </c>
      <c r="V111" s="130" t="s">
        <v>383</v>
      </c>
      <c r="W111" s="113" t="s">
        <v>33</v>
      </c>
      <c r="X111" s="108"/>
    </row>
    <row r="112" spans="1:25" s="16" customFormat="1" ht="40.15" customHeight="1" x14ac:dyDescent="0.25">
      <c r="A112" s="65" t="s">
        <v>97</v>
      </c>
      <c r="B112" s="21" t="s">
        <v>51</v>
      </c>
      <c r="C112" s="21" t="s">
        <v>256</v>
      </c>
      <c r="D112" s="21" t="s">
        <v>475</v>
      </c>
      <c r="E112" s="21" t="s">
        <v>106</v>
      </c>
      <c r="F112" s="21"/>
      <c r="G112" s="21">
        <v>22001</v>
      </c>
      <c r="H112" s="26">
        <v>130000</v>
      </c>
      <c r="I112" s="21" t="s">
        <v>384</v>
      </c>
      <c r="J112" s="21">
        <v>900606389</v>
      </c>
      <c r="K112" s="66" t="s">
        <v>385</v>
      </c>
      <c r="L112" s="22">
        <v>130000</v>
      </c>
      <c r="M112" s="203">
        <v>1</v>
      </c>
      <c r="N112" s="198">
        <f t="shared" si="1"/>
        <v>130000</v>
      </c>
      <c r="O112" s="21" t="s">
        <v>27</v>
      </c>
      <c r="P112" s="21" t="s">
        <v>44</v>
      </c>
      <c r="Q112" s="24"/>
      <c r="R112" s="24"/>
      <c r="S112" s="43" t="s">
        <v>145</v>
      </c>
      <c r="T112" s="24"/>
      <c r="U112" s="21" t="s">
        <v>31</v>
      </c>
      <c r="V112" s="24"/>
      <c r="W112" s="95" t="s">
        <v>96</v>
      </c>
      <c r="X112" s="33" t="s">
        <v>386</v>
      </c>
    </row>
    <row r="113" spans="1:24" s="16" customFormat="1" ht="30" customHeight="1" x14ac:dyDescent="0.25">
      <c r="A113" s="11" t="s">
        <v>97</v>
      </c>
      <c r="B113" s="3" t="s">
        <v>51</v>
      </c>
      <c r="C113" s="3" t="s">
        <v>256</v>
      </c>
      <c r="D113" s="3" t="s">
        <v>475</v>
      </c>
      <c r="E113" s="3" t="s">
        <v>106</v>
      </c>
      <c r="F113" s="3"/>
      <c r="G113" s="3">
        <v>22001</v>
      </c>
      <c r="H113" s="26">
        <v>40000</v>
      </c>
      <c r="I113" s="3" t="s">
        <v>387</v>
      </c>
      <c r="J113" s="3">
        <v>900606389</v>
      </c>
      <c r="K113" s="13" t="s">
        <v>385</v>
      </c>
      <c r="L113" s="12">
        <v>40000</v>
      </c>
      <c r="M113" s="203">
        <v>1</v>
      </c>
      <c r="N113" s="198">
        <f t="shared" si="1"/>
        <v>40000</v>
      </c>
      <c r="O113" s="3" t="s">
        <v>27</v>
      </c>
      <c r="P113" s="3" t="s">
        <v>44</v>
      </c>
      <c r="Q113" s="15"/>
      <c r="R113" s="15"/>
      <c r="S113" s="20"/>
      <c r="T113" s="15"/>
      <c r="U113" s="3" t="s">
        <v>31</v>
      </c>
      <c r="V113" s="15"/>
      <c r="W113" s="4" t="s">
        <v>96</v>
      </c>
      <c r="X113" s="29"/>
    </row>
    <row r="114" spans="1:24" ht="36" x14ac:dyDescent="0.2">
      <c r="A114" s="101" t="s">
        <v>97</v>
      </c>
      <c r="B114" s="101" t="s">
        <v>51</v>
      </c>
      <c r="C114" s="101" t="s">
        <v>388</v>
      </c>
      <c r="D114" s="101" t="s">
        <v>496</v>
      </c>
      <c r="E114" s="101" t="s">
        <v>389</v>
      </c>
      <c r="F114" s="101" t="s">
        <v>62</v>
      </c>
      <c r="G114" s="101">
        <v>27001</v>
      </c>
      <c r="H114" s="76">
        <v>105000000</v>
      </c>
      <c r="I114" s="101" t="s">
        <v>390</v>
      </c>
      <c r="J114" s="101">
        <v>900431358</v>
      </c>
      <c r="K114" s="103" t="s">
        <v>391</v>
      </c>
      <c r="L114" s="114">
        <v>105000000</v>
      </c>
      <c r="M114" s="203">
        <v>1</v>
      </c>
      <c r="N114" s="198">
        <f t="shared" si="1"/>
        <v>105000000</v>
      </c>
      <c r="O114" s="101" t="s">
        <v>374</v>
      </c>
      <c r="P114" s="101" t="s">
        <v>117</v>
      </c>
      <c r="Q114" s="131">
        <v>45627</v>
      </c>
      <c r="R114" s="131">
        <v>47087</v>
      </c>
      <c r="S114" s="106" t="s">
        <v>46</v>
      </c>
      <c r="T114" s="105" t="s">
        <v>83</v>
      </c>
      <c r="U114" s="101" t="s">
        <v>392</v>
      </c>
      <c r="V114" s="101" t="s">
        <v>393</v>
      </c>
      <c r="W114" s="105" t="s">
        <v>50</v>
      </c>
      <c r="X114" s="108"/>
    </row>
    <row r="115" spans="1:24" ht="36" x14ac:dyDescent="0.2">
      <c r="A115" s="101" t="s">
        <v>97</v>
      </c>
      <c r="B115" s="101" t="s">
        <v>51</v>
      </c>
      <c r="C115" s="101" t="s">
        <v>394</v>
      </c>
      <c r="D115" s="101" t="s">
        <v>498</v>
      </c>
      <c r="E115" s="101" t="s">
        <v>395</v>
      </c>
      <c r="F115" s="101" t="s">
        <v>396</v>
      </c>
      <c r="G115" s="101">
        <v>11105</v>
      </c>
      <c r="H115" s="50">
        <v>10000000</v>
      </c>
      <c r="I115" s="101" t="s">
        <v>397</v>
      </c>
      <c r="J115" s="101">
        <v>11435737</v>
      </c>
      <c r="K115" s="103" t="s">
        <v>398</v>
      </c>
      <c r="L115" s="114">
        <v>10000000</v>
      </c>
      <c r="M115" s="203">
        <v>1</v>
      </c>
      <c r="N115" s="198">
        <f t="shared" si="1"/>
        <v>10000000</v>
      </c>
      <c r="O115" s="101" t="s">
        <v>399</v>
      </c>
      <c r="P115" s="101" t="s">
        <v>28</v>
      </c>
      <c r="Q115" s="131">
        <v>45691</v>
      </c>
      <c r="R115" s="131">
        <v>46786</v>
      </c>
      <c r="S115" s="105" t="s">
        <v>57</v>
      </c>
      <c r="T115" s="105">
        <v>3</v>
      </c>
      <c r="U115" s="101" t="s">
        <v>31</v>
      </c>
      <c r="V115" s="105"/>
      <c r="W115" s="105" t="s">
        <v>33</v>
      </c>
      <c r="X115" s="108"/>
    </row>
    <row r="116" spans="1:24" ht="38.25" customHeight="1" x14ac:dyDescent="0.2">
      <c r="A116" s="101" t="s">
        <v>97</v>
      </c>
      <c r="B116" s="101" t="s">
        <v>51</v>
      </c>
      <c r="C116" s="101" t="s">
        <v>256</v>
      </c>
      <c r="D116" s="101" t="s">
        <v>475</v>
      </c>
      <c r="E116" s="101" t="s">
        <v>400</v>
      </c>
      <c r="F116" s="101" t="s">
        <v>62</v>
      </c>
      <c r="G116" s="101" t="s">
        <v>401</v>
      </c>
      <c r="H116" s="50">
        <v>90000000</v>
      </c>
      <c r="I116" s="101" t="s">
        <v>402</v>
      </c>
      <c r="J116" s="101">
        <v>860353433</v>
      </c>
      <c r="K116" s="103" t="s">
        <v>258</v>
      </c>
      <c r="L116" s="104">
        <v>94590000</v>
      </c>
      <c r="M116" s="203">
        <v>1</v>
      </c>
      <c r="N116" s="198">
        <f t="shared" si="1"/>
        <v>94590000</v>
      </c>
      <c r="O116" s="101" t="s">
        <v>116</v>
      </c>
      <c r="P116" s="101" t="s">
        <v>28</v>
      </c>
      <c r="Q116" s="131">
        <v>45778</v>
      </c>
      <c r="R116" s="131">
        <v>48334</v>
      </c>
      <c r="S116" s="105" t="s">
        <v>92</v>
      </c>
      <c r="T116" s="105" t="s">
        <v>403</v>
      </c>
      <c r="U116" s="101" t="s">
        <v>31</v>
      </c>
      <c r="V116" s="105"/>
      <c r="W116" s="105" t="s">
        <v>33</v>
      </c>
      <c r="X116" s="108"/>
    </row>
    <row r="117" spans="1:24" ht="24" x14ac:dyDescent="0.2">
      <c r="A117" s="101" t="s">
        <v>97</v>
      </c>
      <c r="B117" s="101" t="s">
        <v>51</v>
      </c>
      <c r="C117" s="101" t="s">
        <v>404</v>
      </c>
      <c r="D117" s="101" t="s">
        <v>499</v>
      </c>
      <c r="E117" s="101" t="s">
        <v>405</v>
      </c>
      <c r="F117" s="101" t="s">
        <v>201</v>
      </c>
      <c r="G117" s="101">
        <v>22001</v>
      </c>
      <c r="H117" s="50">
        <v>800000</v>
      </c>
      <c r="I117" s="101" t="s">
        <v>406</v>
      </c>
      <c r="J117" s="132">
        <v>27070979</v>
      </c>
      <c r="K117" s="103" t="s">
        <v>407</v>
      </c>
      <c r="L117" s="114">
        <v>800000</v>
      </c>
      <c r="M117" s="203">
        <v>1</v>
      </c>
      <c r="N117" s="198">
        <f t="shared" si="1"/>
        <v>800000</v>
      </c>
      <c r="O117" s="101" t="s">
        <v>116</v>
      </c>
      <c r="P117" s="101" t="s">
        <v>28</v>
      </c>
      <c r="Q117" s="131">
        <v>45809</v>
      </c>
      <c r="R117" s="131">
        <v>46539</v>
      </c>
      <c r="S117" s="105" t="s">
        <v>45</v>
      </c>
      <c r="T117" s="105" t="s">
        <v>58</v>
      </c>
      <c r="U117" s="101" t="s">
        <v>31</v>
      </c>
      <c r="V117" s="105" t="s">
        <v>408</v>
      </c>
      <c r="W117" s="105" t="s">
        <v>33</v>
      </c>
      <c r="X117" s="108"/>
    </row>
    <row r="118" spans="1:24" ht="36" x14ac:dyDescent="0.2">
      <c r="A118" s="101" t="s">
        <v>97</v>
      </c>
      <c r="B118" s="101" t="s">
        <v>22</v>
      </c>
      <c r="C118" s="101" t="s">
        <v>409</v>
      </c>
      <c r="D118" s="101" t="s">
        <v>491</v>
      </c>
      <c r="E118" s="101" t="s">
        <v>410</v>
      </c>
      <c r="F118" s="101" t="s">
        <v>411</v>
      </c>
      <c r="G118" s="101"/>
      <c r="H118" s="50"/>
      <c r="I118" s="101" t="s">
        <v>412</v>
      </c>
      <c r="J118" s="132" t="s">
        <v>413</v>
      </c>
      <c r="K118" s="103" t="s">
        <v>414</v>
      </c>
      <c r="L118" s="114">
        <v>55</v>
      </c>
      <c r="M118" s="203">
        <v>1</v>
      </c>
      <c r="N118" s="198">
        <f t="shared" si="1"/>
        <v>55</v>
      </c>
      <c r="O118" s="101" t="s">
        <v>116</v>
      </c>
      <c r="P118" s="101" t="s">
        <v>117</v>
      </c>
      <c r="Q118" s="131">
        <v>46113</v>
      </c>
      <c r="R118" s="131">
        <v>46478</v>
      </c>
      <c r="S118" s="105" t="s">
        <v>240</v>
      </c>
      <c r="T118" s="105" t="s">
        <v>58</v>
      </c>
      <c r="U118" s="101" t="s">
        <v>31</v>
      </c>
      <c r="V118" s="105"/>
      <c r="W118" s="105" t="s">
        <v>33</v>
      </c>
      <c r="X118" s="108"/>
    </row>
    <row r="119" spans="1:24" ht="36" x14ac:dyDescent="0.2">
      <c r="A119" s="101" t="s">
        <v>97</v>
      </c>
      <c r="B119" s="101" t="s">
        <v>51</v>
      </c>
      <c r="C119" s="101" t="s">
        <v>415</v>
      </c>
      <c r="D119" s="101" t="s">
        <v>415</v>
      </c>
      <c r="E119" s="101" t="s">
        <v>410</v>
      </c>
      <c r="F119" s="101" t="s">
        <v>252</v>
      </c>
      <c r="G119" s="101"/>
      <c r="H119" s="50"/>
      <c r="I119" s="101" t="s">
        <v>416</v>
      </c>
      <c r="J119" s="132"/>
      <c r="K119" s="103" t="s">
        <v>417</v>
      </c>
      <c r="L119" s="134">
        <v>52</v>
      </c>
      <c r="M119" s="203">
        <v>1</v>
      </c>
      <c r="N119" s="198">
        <f t="shared" si="1"/>
        <v>52</v>
      </c>
      <c r="O119" s="101" t="s">
        <v>116</v>
      </c>
      <c r="P119" s="101" t="s">
        <v>117</v>
      </c>
      <c r="Q119" s="131">
        <v>46174</v>
      </c>
      <c r="R119" s="131">
        <v>47270</v>
      </c>
      <c r="S119" s="105" t="s">
        <v>45</v>
      </c>
      <c r="T119" s="105" t="s">
        <v>58</v>
      </c>
      <c r="U119" s="101" t="s">
        <v>31</v>
      </c>
      <c r="V119" s="105"/>
      <c r="W119" s="105" t="s">
        <v>33</v>
      </c>
      <c r="X119" s="108"/>
    </row>
    <row r="120" spans="1:24" x14ac:dyDescent="0.2">
      <c r="L120" s="46"/>
      <c r="M120" s="46"/>
      <c r="N120" s="46"/>
      <c r="O120" s="46"/>
      <c r="P120" s="46"/>
    </row>
    <row r="121" spans="1:24" x14ac:dyDescent="0.2">
      <c r="L121" s="45"/>
      <c r="M121" s="45"/>
      <c r="N121" s="45"/>
    </row>
    <row r="122" spans="1:24" x14ac:dyDescent="0.2">
      <c r="L122" s="45"/>
      <c r="M122" s="45"/>
      <c r="N122" s="45"/>
      <c r="P122" s="46"/>
      <c r="Q122" s="41"/>
    </row>
    <row r="123" spans="1:24" x14ac:dyDescent="0.2">
      <c r="L123" s="46"/>
      <c r="M123" s="46"/>
      <c r="N123" s="46"/>
      <c r="P123" s="46"/>
      <c r="Q123" s="41"/>
    </row>
    <row r="129" spans="15:15" x14ac:dyDescent="0.2">
      <c r="O129" s="45"/>
    </row>
  </sheetData>
  <autoFilter ref="A2:AA119" xr:uid="{00000000-0001-0000-0000-000000000000}">
    <filterColumn colId="22">
      <filters blank="1">
        <filter val="Vigente"/>
      </filters>
    </filterColumn>
  </autoFilter>
  <mergeCells count="3">
    <mergeCell ref="Y83:Y84"/>
    <mergeCell ref="Z83:Z84"/>
    <mergeCell ref="A1:O1"/>
  </mergeCells>
  <phoneticPr fontId="2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BC9E7-F0A8-4EB2-9025-41BED2F011C0}">
  <sheetPr>
    <tabColor theme="4" tint="0.39997558519241921"/>
  </sheetPr>
  <dimension ref="A1:L55"/>
  <sheetViews>
    <sheetView workbookViewId="0">
      <pane xSplit="1" ySplit="1" topLeftCell="B9" activePane="bottomRight" state="frozen"/>
      <selection pane="topRight"/>
      <selection pane="bottomLeft"/>
      <selection pane="bottomRight" activeCell="G45" sqref="G45"/>
    </sheetView>
  </sheetViews>
  <sheetFormatPr baseColWidth="10" defaultColWidth="8.7109375" defaultRowHeight="15" x14ac:dyDescent="0.25"/>
  <cols>
    <col min="2" max="2" width="21.140625" customWidth="1"/>
    <col min="3" max="3" width="38.85546875" customWidth="1"/>
    <col min="4" max="4" width="27.85546875" customWidth="1"/>
    <col min="5" max="5" width="10" customWidth="1"/>
    <col min="6" max="6" width="27.85546875" customWidth="1"/>
    <col min="7" max="7" width="21.7109375" customWidth="1"/>
    <col min="8" max="8" width="17.7109375" customWidth="1"/>
    <col min="9" max="9" width="9.140625" style="55"/>
    <col min="10" max="10" width="26.42578125" customWidth="1"/>
    <col min="11" max="11" width="30.5703125" customWidth="1"/>
    <col min="12" max="12" width="19.85546875" style="52" customWidth="1"/>
  </cols>
  <sheetData>
    <row r="1" spans="1:12" x14ac:dyDescent="0.25">
      <c r="A1" s="1" t="s">
        <v>2</v>
      </c>
      <c r="B1" s="1" t="s">
        <v>418</v>
      </c>
      <c r="C1" s="1" t="s">
        <v>8</v>
      </c>
      <c r="D1" s="1" t="s">
        <v>419</v>
      </c>
      <c r="E1" s="1" t="s">
        <v>420</v>
      </c>
      <c r="F1" s="56" t="s">
        <v>421</v>
      </c>
      <c r="G1" s="1" t="s">
        <v>422</v>
      </c>
      <c r="H1" s="1" t="s">
        <v>423</v>
      </c>
      <c r="I1" s="1" t="s">
        <v>424</v>
      </c>
      <c r="J1" s="1" t="s">
        <v>12</v>
      </c>
    </row>
    <row r="2" spans="1:12" ht="15" customHeight="1" x14ac:dyDescent="0.25">
      <c r="A2" t="s">
        <v>51</v>
      </c>
      <c r="B2" t="s">
        <v>425</v>
      </c>
      <c r="C2" s="51" t="s">
        <v>426</v>
      </c>
      <c r="D2" t="s">
        <v>427</v>
      </c>
      <c r="F2" s="52">
        <f t="shared" ref="F2:F12" si="0">G2-(G2*7%)</f>
        <v>68355000</v>
      </c>
      <c r="G2" s="52">
        <v>73500000</v>
      </c>
      <c r="H2" s="52">
        <f t="shared" ref="H2:H23" si="1">G2-F2</f>
        <v>5145000</v>
      </c>
      <c r="I2" s="54">
        <f t="shared" ref="I2:I23" si="2">H2/G2</f>
        <v>7.0000000000000007E-2</v>
      </c>
      <c r="J2" t="s">
        <v>374</v>
      </c>
      <c r="K2" s="53" t="s">
        <v>428</v>
      </c>
      <c r="L2" s="52">
        <v>143090925</v>
      </c>
    </row>
    <row r="3" spans="1:12" ht="18.75" customHeight="1" x14ac:dyDescent="0.25">
      <c r="A3" t="s">
        <v>51</v>
      </c>
      <c r="B3" t="s">
        <v>425</v>
      </c>
      <c r="C3" s="51" t="s">
        <v>429</v>
      </c>
      <c r="D3" t="s">
        <v>427</v>
      </c>
      <c r="F3" s="52">
        <f t="shared" si="0"/>
        <v>13408112.25</v>
      </c>
      <c r="G3" s="52">
        <v>14417325</v>
      </c>
      <c r="H3" s="52">
        <f t="shared" si="1"/>
        <v>1009212.75</v>
      </c>
      <c r="I3" s="54">
        <f t="shared" si="2"/>
        <v>7.0000000000000007E-2</v>
      </c>
      <c r="J3" t="s">
        <v>374</v>
      </c>
      <c r="K3" s="53" t="s">
        <v>430</v>
      </c>
      <c r="L3" s="52">
        <f>L2*7%</f>
        <v>10016364.750000002</v>
      </c>
    </row>
    <row r="4" spans="1:12" ht="18.75" customHeight="1" x14ac:dyDescent="0.25">
      <c r="A4" t="s">
        <v>51</v>
      </c>
      <c r="B4" t="s">
        <v>425</v>
      </c>
      <c r="C4" s="51" t="s">
        <v>431</v>
      </c>
      <c r="D4" t="s">
        <v>427</v>
      </c>
      <c r="F4" s="52">
        <f t="shared" si="0"/>
        <v>360375</v>
      </c>
      <c r="G4" s="52">
        <v>387500</v>
      </c>
      <c r="H4" s="52">
        <f t="shared" si="1"/>
        <v>27125</v>
      </c>
      <c r="I4" s="54">
        <f t="shared" si="2"/>
        <v>7.0000000000000007E-2</v>
      </c>
      <c r="J4" t="s">
        <v>374</v>
      </c>
      <c r="K4" s="53" t="s">
        <v>432</v>
      </c>
      <c r="L4" s="52">
        <f>L2-L3</f>
        <v>133074560.25</v>
      </c>
    </row>
    <row r="5" spans="1:12" ht="18.75" customHeight="1" x14ac:dyDescent="0.25">
      <c r="A5" t="s">
        <v>51</v>
      </c>
      <c r="B5" t="s">
        <v>425</v>
      </c>
      <c r="C5" s="51" t="s">
        <v>433</v>
      </c>
      <c r="D5" t="s">
        <v>427</v>
      </c>
      <c r="F5" s="52">
        <f t="shared" si="0"/>
        <v>2248740</v>
      </c>
      <c r="G5" s="52">
        <v>2418000</v>
      </c>
      <c r="H5" s="52">
        <f t="shared" si="1"/>
        <v>169260</v>
      </c>
      <c r="I5" s="54">
        <f t="shared" si="2"/>
        <v>7.0000000000000007E-2</v>
      </c>
      <c r="J5" t="s">
        <v>374</v>
      </c>
      <c r="K5" s="53" t="s">
        <v>434</v>
      </c>
      <c r="L5" s="52">
        <f>L4*30%</f>
        <v>39922368.074999996</v>
      </c>
    </row>
    <row r="6" spans="1:12" ht="18.75" customHeight="1" x14ac:dyDescent="0.25">
      <c r="A6" t="s">
        <v>51</v>
      </c>
      <c r="B6" t="s">
        <v>425</v>
      </c>
      <c r="C6" s="51" t="s">
        <v>435</v>
      </c>
      <c r="D6" t="s">
        <v>427</v>
      </c>
      <c r="F6" s="52">
        <f t="shared" si="0"/>
        <v>4684875</v>
      </c>
      <c r="G6" s="52">
        <v>5037500</v>
      </c>
      <c r="H6" s="52">
        <f t="shared" si="1"/>
        <v>352625</v>
      </c>
      <c r="I6" s="54">
        <f t="shared" si="2"/>
        <v>7.0000000000000007E-2</v>
      </c>
      <c r="J6" t="s">
        <v>374</v>
      </c>
      <c r="K6" s="53" t="s">
        <v>436</v>
      </c>
      <c r="L6" s="52">
        <f>L4-L5</f>
        <v>93152192.175000012</v>
      </c>
    </row>
    <row r="7" spans="1:12" ht="18.75" customHeight="1" x14ac:dyDescent="0.25">
      <c r="A7" t="s">
        <v>51</v>
      </c>
      <c r="B7" t="s">
        <v>425</v>
      </c>
      <c r="C7" s="51" t="s">
        <v>437</v>
      </c>
      <c r="D7" t="s">
        <v>427</v>
      </c>
      <c r="F7" s="52">
        <f t="shared" si="0"/>
        <v>744000</v>
      </c>
      <c r="G7" s="52">
        <v>800000</v>
      </c>
      <c r="H7" s="52">
        <f t="shared" si="1"/>
        <v>56000</v>
      </c>
      <c r="I7" s="54">
        <f t="shared" si="2"/>
        <v>7.0000000000000007E-2</v>
      </c>
      <c r="J7" t="s">
        <v>374</v>
      </c>
      <c r="K7" s="53"/>
    </row>
    <row r="8" spans="1:12" ht="18.75" customHeight="1" x14ac:dyDescent="0.25">
      <c r="A8" t="s">
        <v>51</v>
      </c>
      <c r="B8" t="s">
        <v>425</v>
      </c>
      <c r="C8" s="51" t="s">
        <v>438</v>
      </c>
      <c r="D8" t="s">
        <v>427</v>
      </c>
      <c r="F8" s="52">
        <f t="shared" si="0"/>
        <v>520800</v>
      </c>
      <c r="G8" s="52">
        <v>560000</v>
      </c>
      <c r="H8" s="52">
        <f t="shared" si="1"/>
        <v>39200</v>
      </c>
      <c r="I8" s="54">
        <f t="shared" si="2"/>
        <v>7.0000000000000007E-2</v>
      </c>
      <c r="J8" t="s">
        <v>374</v>
      </c>
    </row>
    <row r="9" spans="1:12" ht="18.75" customHeight="1" x14ac:dyDescent="0.25">
      <c r="A9" t="s">
        <v>51</v>
      </c>
      <c r="B9" t="s">
        <v>425</v>
      </c>
      <c r="C9" s="51" t="s">
        <v>439</v>
      </c>
      <c r="D9" t="s">
        <v>427</v>
      </c>
      <c r="F9" s="52">
        <f t="shared" si="0"/>
        <v>35805000</v>
      </c>
      <c r="G9" s="52">
        <v>38500000</v>
      </c>
      <c r="H9" s="52">
        <f t="shared" si="1"/>
        <v>2695000</v>
      </c>
      <c r="I9" s="54">
        <f t="shared" si="2"/>
        <v>7.0000000000000007E-2</v>
      </c>
      <c r="J9" t="s">
        <v>374</v>
      </c>
    </row>
    <row r="10" spans="1:12" ht="18.75" customHeight="1" x14ac:dyDescent="0.25">
      <c r="A10" t="s">
        <v>51</v>
      </c>
      <c r="B10" t="s">
        <v>425</v>
      </c>
      <c r="C10" s="51" t="s">
        <v>440</v>
      </c>
      <c r="D10" t="s">
        <v>427</v>
      </c>
      <c r="F10" s="52">
        <f t="shared" si="0"/>
        <v>949158</v>
      </c>
      <c r="G10" s="52">
        <v>1020600</v>
      </c>
      <c r="H10" s="52">
        <f t="shared" si="1"/>
        <v>71442</v>
      </c>
      <c r="I10" s="54">
        <f t="shared" si="2"/>
        <v>7.0000000000000007E-2</v>
      </c>
      <c r="J10" t="s">
        <v>374</v>
      </c>
    </row>
    <row r="11" spans="1:12" ht="18.75" customHeight="1" x14ac:dyDescent="0.25">
      <c r="A11" t="s">
        <v>51</v>
      </c>
      <c r="B11" t="s">
        <v>425</v>
      </c>
      <c r="C11" s="51" t="s">
        <v>441</v>
      </c>
      <c r="D11" t="s">
        <v>427</v>
      </c>
      <c r="F11" s="52">
        <f t="shared" si="0"/>
        <v>1627500</v>
      </c>
      <c r="G11" s="52">
        <v>1750000</v>
      </c>
      <c r="H11" s="52">
        <f t="shared" si="1"/>
        <v>122500</v>
      </c>
      <c r="I11" s="54">
        <f t="shared" si="2"/>
        <v>7.0000000000000007E-2</v>
      </c>
      <c r="J11" t="s">
        <v>374</v>
      </c>
    </row>
    <row r="12" spans="1:12" ht="18.75" customHeight="1" x14ac:dyDescent="0.25">
      <c r="A12" t="s">
        <v>51</v>
      </c>
      <c r="B12" t="s">
        <v>425</v>
      </c>
      <c r="C12" t="s">
        <v>442</v>
      </c>
      <c r="D12" t="s">
        <v>427</v>
      </c>
      <c r="F12" s="52">
        <f t="shared" si="0"/>
        <v>4371000</v>
      </c>
      <c r="G12" s="52">
        <v>4700000</v>
      </c>
      <c r="H12" s="52">
        <f t="shared" si="1"/>
        <v>329000</v>
      </c>
      <c r="I12" s="54">
        <f t="shared" si="2"/>
        <v>7.0000000000000007E-2</v>
      </c>
      <c r="J12" t="s">
        <v>374</v>
      </c>
    </row>
    <row r="13" spans="1:12" x14ac:dyDescent="0.25">
      <c r="A13" t="s">
        <v>51</v>
      </c>
      <c r="B13" t="s">
        <v>425</v>
      </c>
      <c r="C13" t="s">
        <v>443</v>
      </c>
      <c r="D13" t="s">
        <v>444</v>
      </c>
      <c r="F13" s="52">
        <v>32012403</v>
      </c>
      <c r="G13" s="52">
        <v>34837673</v>
      </c>
      <c r="H13" s="52">
        <f t="shared" si="1"/>
        <v>2825270</v>
      </c>
      <c r="I13" s="54">
        <f t="shared" si="2"/>
        <v>8.1098126157852168E-2</v>
      </c>
      <c r="J13" t="s">
        <v>374</v>
      </c>
    </row>
    <row r="14" spans="1:12" x14ac:dyDescent="0.25">
      <c r="A14" t="s">
        <v>51</v>
      </c>
      <c r="B14" t="s">
        <v>425</v>
      </c>
      <c r="C14" t="s">
        <v>445</v>
      </c>
      <c r="D14" t="s">
        <v>444</v>
      </c>
      <c r="F14" s="52">
        <v>2350250</v>
      </c>
      <c r="G14" s="52">
        <v>2950250</v>
      </c>
      <c r="H14" s="52">
        <f t="shared" si="1"/>
        <v>600000</v>
      </c>
      <c r="I14" s="54">
        <f t="shared" si="2"/>
        <v>0.20337259554275061</v>
      </c>
      <c r="J14" t="s">
        <v>374</v>
      </c>
    </row>
    <row r="15" spans="1:12" x14ac:dyDescent="0.25">
      <c r="A15" t="s">
        <v>51</v>
      </c>
      <c r="C15" t="s">
        <v>446</v>
      </c>
      <c r="D15" t="s">
        <v>447</v>
      </c>
      <c r="F15" s="52">
        <v>1757500</v>
      </c>
      <c r="G15" s="52">
        <v>1800000</v>
      </c>
      <c r="H15" s="52">
        <f t="shared" si="1"/>
        <v>42500</v>
      </c>
      <c r="I15" s="54">
        <f t="shared" si="2"/>
        <v>2.361111111111111E-2</v>
      </c>
      <c r="J15" t="s">
        <v>448</v>
      </c>
    </row>
    <row r="16" spans="1:12" x14ac:dyDescent="0.25">
      <c r="A16" t="s">
        <v>51</v>
      </c>
      <c r="B16" t="s">
        <v>449</v>
      </c>
      <c r="C16" t="s">
        <v>450</v>
      </c>
      <c r="D16" t="s">
        <v>451</v>
      </c>
      <c r="F16" s="52">
        <v>2400000</v>
      </c>
      <c r="G16" s="52">
        <v>2400000</v>
      </c>
      <c r="H16" s="52">
        <f t="shared" si="1"/>
        <v>0</v>
      </c>
      <c r="I16" s="54">
        <f t="shared" si="2"/>
        <v>0</v>
      </c>
      <c r="J16" t="s">
        <v>374</v>
      </c>
    </row>
    <row r="17" spans="1:10" x14ac:dyDescent="0.25">
      <c r="A17" t="s">
        <v>51</v>
      </c>
      <c r="B17" t="s">
        <v>452</v>
      </c>
      <c r="C17" t="s">
        <v>453</v>
      </c>
      <c r="D17" t="s">
        <v>451</v>
      </c>
      <c r="F17" s="52">
        <v>650000</v>
      </c>
      <c r="G17" s="52">
        <v>650000</v>
      </c>
      <c r="H17" s="52">
        <f t="shared" si="1"/>
        <v>0</v>
      </c>
      <c r="I17" s="54">
        <f t="shared" si="2"/>
        <v>0</v>
      </c>
      <c r="J17" t="s">
        <v>374</v>
      </c>
    </row>
    <row r="18" spans="1:10" x14ac:dyDescent="0.25">
      <c r="A18" t="s">
        <v>51</v>
      </c>
      <c r="B18" t="s">
        <v>449</v>
      </c>
      <c r="C18" t="s">
        <v>454</v>
      </c>
      <c r="D18" t="s">
        <v>451</v>
      </c>
      <c r="F18" s="52">
        <v>650000</v>
      </c>
      <c r="G18" s="52">
        <v>650000</v>
      </c>
      <c r="H18" s="52">
        <f t="shared" si="1"/>
        <v>0</v>
      </c>
      <c r="I18" s="54">
        <f t="shared" si="2"/>
        <v>0</v>
      </c>
      <c r="J18" t="s">
        <v>374</v>
      </c>
    </row>
    <row r="19" spans="1:10" x14ac:dyDescent="0.25">
      <c r="A19" t="s">
        <v>51</v>
      </c>
      <c r="B19" t="s">
        <v>449</v>
      </c>
      <c r="C19" t="s">
        <v>455</v>
      </c>
      <c r="D19" t="s">
        <v>451</v>
      </c>
      <c r="F19" s="52">
        <v>110000</v>
      </c>
      <c r="G19" s="52">
        <v>110000</v>
      </c>
      <c r="H19" s="52">
        <f t="shared" si="1"/>
        <v>0</v>
      </c>
      <c r="I19" s="54">
        <f t="shared" si="2"/>
        <v>0</v>
      </c>
      <c r="J19" t="s">
        <v>374</v>
      </c>
    </row>
    <row r="20" spans="1:10" x14ac:dyDescent="0.25">
      <c r="A20" t="s">
        <v>51</v>
      </c>
      <c r="B20" t="s">
        <v>449</v>
      </c>
      <c r="C20" t="s">
        <v>456</v>
      </c>
      <c r="D20" t="s">
        <v>451</v>
      </c>
      <c r="F20" s="52">
        <v>360000</v>
      </c>
      <c r="G20" s="52">
        <v>360000</v>
      </c>
      <c r="H20" s="52">
        <f t="shared" si="1"/>
        <v>0</v>
      </c>
      <c r="I20" s="54">
        <f t="shared" si="2"/>
        <v>0</v>
      </c>
      <c r="J20" t="s">
        <v>374</v>
      </c>
    </row>
    <row r="21" spans="1:10" x14ac:dyDescent="0.25">
      <c r="A21" t="s">
        <v>51</v>
      </c>
      <c r="B21" t="s">
        <v>452</v>
      </c>
      <c r="C21" t="s">
        <v>457</v>
      </c>
      <c r="D21" t="s">
        <v>451</v>
      </c>
      <c r="F21" s="52">
        <v>650000</v>
      </c>
      <c r="G21" s="52">
        <v>650000</v>
      </c>
      <c r="H21" s="52">
        <f t="shared" si="1"/>
        <v>0</v>
      </c>
      <c r="I21" s="54">
        <f t="shared" si="2"/>
        <v>0</v>
      </c>
      <c r="J21" t="s">
        <v>374</v>
      </c>
    </row>
    <row r="22" spans="1:10" x14ac:dyDescent="0.25">
      <c r="A22" t="s">
        <v>51</v>
      </c>
      <c r="C22" t="s">
        <v>458</v>
      </c>
      <c r="D22" t="s">
        <v>451</v>
      </c>
      <c r="F22" s="52">
        <v>650000</v>
      </c>
      <c r="G22" s="52">
        <v>650000</v>
      </c>
      <c r="H22" s="52">
        <f t="shared" si="1"/>
        <v>0</v>
      </c>
      <c r="I22" s="54">
        <f t="shared" si="2"/>
        <v>0</v>
      </c>
      <c r="J22" t="s">
        <v>374</v>
      </c>
    </row>
    <row r="23" spans="1:10" x14ac:dyDescent="0.25">
      <c r="A23" t="s">
        <v>51</v>
      </c>
      <c r="C23" t="s">
        <v>459</v>
      </c>
      <c r="D23" t="s">
        <v>460</v>
      </c>
      <c r="F23" s="52">
        <v>170000000</v>
      </c>
      <c r="G23" s="52">
        <v>182795698.92473099</v>
      </c>
      <c r="H23" s="52">
        <f t="shared" si="1"/>
        <v>12795698.924730986</v>
      </c>
      <c r="I23" s="54">
        <f t="shared" si="2"/>
        <v>6.9999999999999007E-2</v>
      </c>
      <c r="J23" t="s">
        <v>374</v>
      </c>
    </row>
    <row r="24" spans="1:10" x14ac:dyDescent="0.25">
      <c r="A24" t="s">
        <v>51</v>
      </c>
      <c r="C24" t="s">
        <v>459</v>
      </c>
      <c r="D24" t="s">
        <v>460</v>
      </c>
      <c r="F24" s="52">
        <v>24474671</v>
      </c>
      <c r="G24" s="52">
        <v>26316850.537634399</v>
      </c>
      <c r="H24" s="52">
        <f t="shared" ref="H24:H25" si="3">G24-F24</f>
        <v>1842179.5376343988</v>
      </c>
      <c r="I24" s="54">
        <f t="shared" ref="I24:I25" si="4">H24/G24</f>
        <v>6.999999999999966E-2</v>
      </c>
      <c r="J24" t="s">
        <v>374</v>
      </c>
    </row>
    <row r="25" spans="1:10" x14ac:dyDescent="0.25">
      <c r="A25" t="s">
        <v>51</v>
      </c>
      <c r="C25" t="s">
        <v>459</v>
      </c>
      <c r="D25" t="s">
        <v>460</v>
      </c>
      <c r="F25" s="52">
        <v>24474671</v>
      </c>
      <c r="G25" s="52">
        <v>26316850.537634399</v>
      </c>
      <c r="H25" s="52">
        <f t="shared" si="3"/>
        <v>1842179.5376343988</v>
      </c>
      <c r="I25" s="54">
        <f t="shared" si="4"/>
        <v>6.999999999999966E-2</v>
      </c>
      <c r="J25" t="s">
        <v>374</v>
      </c>
    </row>
    <row r="26" spans="1:10" x14ac:dyDescent="0.25">
      <c r="A26" t="s">
        <v>51</v>
      </c>
      <c r="B26" t="s">
        <v>425</v>
      </c>
      <c r="C26" t="s">
        <v>461</v>
      </c>
      <c r="D26" t="s">
        <v>444</v>
      </c>
      <c r="E26">
        <v>3000</v>
      </c>
      <c r="F26" s="52">
        <v>18900000</v>
      </c>
      <c r="G26" s="52">
        <f>E26*7200</f>
        <v>21600000</v>
      </c>
      <c r="H26" s="52">
        <f t="shared" ref="H26:H28" si="5">G26-F26</f>
        <v>2700000</v>
      </c>
      <c r="I26" s="54">
        <f>H26/G26</f>
        <v>0.125</v>
      </c>
      <c r="J26" t="s">
        <v>374</v>
      </c>
    </row>
    <row r="27" spans="1:10" x14ac:dyDescent="0.25">
      <c r="A27" t="s">
        <v>51</v>
      </c>
      <c r="B27" t="s">
        <v>425</v>
      </c>
      <c r="C27" t="s">
        <v>461</v>
      </c>
      <c r="D27" t="s">
        <v>444</v>
      </c>
      <c r="E27">
        <v>400</v>
      </c>
      <c r="F27" s="52">
        <v>2800000</v>
      </c>
      <c r="G27" s="52">
        <f>E27*7200</f>
        <v>2880000</v>
      </c>
      <c r="H27" s="52">
        <f t="shared" ref="H27" si="6">G27-F27</f>
        <v>80000</v>
      </c>
      <c r="I27" s="54">
        <f>H27/G27</f>
        <v>2.7777777777777776E-2</v>
      </c>
      <c r="J27" t="s">
        <v>374</v>
      </c>
    </row>
    <row r="28" spans="1:10" x14ac:dyDescent="0.25">
      <c r="A28" t="s">
        <v>51</v>
      </c>
      <c r="B28" t="s">
        <v>449</v>
      </c>
      <c r="C28" t="s">
        <v>462</v>
      </c>
      <c r="D28" t="s">
        <v>427</v>
      </c>
      <c r="E28">
        <v>1</v>
      </c>
      <c r="F28" s="52">
        <v>5500000</v>
      </c>
      <c r="G28" s="52">
        <v>6000000</v>
      </c>
      <c r="H28" s="52">
        <f t="shared" si="5"/>
        <v>500000</v>
      </c>
      <c r="I28" s="54">
        <f>H28/G28</f>
        <v>8.3333333333333329E-2</v>
      </c>
      <c r="J28" t="s">
        <v>374</v>
      </c>
    </row>
    <row r="29" spans="1:10" x14ac:dyDescent="0.25">
      <c r="A29" t="s">
        <v>51</v>
      </c>
      <c r="B29" t="s">
        <v>425</v>
      </c>
      <c r="C29" t="s">
        <v>463</v>
      </c>
      <c r="D29" t="s">
        <v>444</v>
      </c>
      <c r="E29">
        <v>72</v>
      </c>
      <c r="F29" s="52">
        <v>1098864</v>
      </c>
      <c r="G29" s="52"/>
      <c r="J29" t="s">
        <v>464</v>
      </c>
    </row>
    <row r="30" spans="1:10" x14ac:dyDescent="0.25">
      <c r="A30" t="s">
        <v>51</v>
      </c>
      <c r="C30" t="s">
        <v>465</v>
      </c>
      <c r="D30" t="s">
        <v>466</v>
      </c>
      <c r="E30">
        <v>1</v>
      </c>
      <c r="F30" s="52">
        <v>9759898</v>
      </c>
      <c r="G30" s="52">
        <v>10061750</v>
      </c>
      <c r="H30" s="52">
        <f t="shared" ref="H30" si="7">G30-F30</f>
        <v>301852</v>
      </c>
      <c r="I30" s="54">
        <f>H30/G30</f>
        <v>2.9999950306855171E-2</v>
      </c>
      <c r="J30" t="s">
        <v>374</v>
      </c>
    </row>
    <row r="31" spans="1:10" x14ac:dyDescent="0.25">
      <c r="A31" t="s">
        <v>51</v>
      </c>
      <c r="B31" t="s">
        <v>425</v>
      </c>
      <c r="C31" t="s">
        <v>467</v>
      </c>
      <c r="D31" t="s">
        <v>444</v>
      </c>
      <c r="E31">
        <v>32</v>
      </c>
      <c r="F31" s="52">
        <v>6787088</v>
      </c>
      <c r="G31" s="52"/>
      <c r="J31" t="s">
        <v>464</v>
      </c>
    </row>
    <row r="32" spans="1:10" x14ac:dyDescent="0.25">
      <c r="A32" t="s">
        <v>51</v>
      </c>
      <c r="C32" t="s">
        <v>468</v>
      </c>
      <c r="D32" t="s">
        <v>427</v>
      </c>
      <c r="F32" s="52">
        <v>7953882</v>
      </c>
      <c r="G32" s="52"/>
      <c r="J32" t="s">
        <v>469</v>
      </c>
    </row>
    <row r="33" spans="1:10" x14ac:dyDescent="0.25">
      <c r="A33" t="s">
        <v>51</v>
      </c>
      <c r="C33" t="s">
        <v>468</v>
      </c>
      <c r="D33" t="s">
        <v>427</v>
      </c>
      <c r="F33" s="52">
        <v>7953882</v>
      </c>
      <c r="G33" s="52"/>
      <c r="J33" t="s">
        <v>469</v>
      </c>
    </row>
    <row r="34" spans="1:10" x14ac:dyDescent="0.25">
      <c r="A34" t="s">
        <v>51</v>
      </c>
      <c r="C34" t="s">
        <v>468</v>
      </c>
      <c r="D34" t="s">
        <v>427</v>
      </c>
      <c r="F34" s="52">
        <v>7953882</v>
      </c>
      <c r="G34" s="52"/>
      <c r="J34" t="s">
        <v>469</v>
      </c>
    </row>
    <row r="35" spans="1:10" x14ac:dyDescent="0.25">
      <c r="A35" t="s">
        <v>51</v>
      </c>
      <c r="C35" t="s">
        <v>468</v>
      </c>
      <c r="D35" t="s">
        <v>427</v>
      </c>
      <c r="F35" s="52">
        <v>7953882</v>
      </c>
      <c r="G35" s="52"/>
      <c r="J35" t="s">
        <v>469</v>
      </c>
    </row>
    <row r="36" spans="1:10" x14ac:dyDescent="0.25">
      <c r="A36" t="s">
        <v>51</v>
      </c>
      <c r="C36" t="s">
        <v>468</v>
      </c>
      <c r="D36" t="s">
        <v>427</v>
      </c>
      <c r="F36" s="52">
        <v>7953882</v>
      </c>
      <c r="G36" s="52"/>
      <c r="J36" t="s">
        <v>469</v>
      </c>
    </row>
    <row r="37" spans="1:10" x14ac:dyDescent="0.25">
      <c r="A37" t="s">
        <v>51</v>
      </c>
      <c r="C37" t="s">
        <v>468</v>
      </c>
      <c r="D37" t="s">
        <v>427</v>
      </c>
      <c r="F37" s="52">
        <v>7953882</v>
      </c>
      <c r="J37" t="s">
        <v>469</v>
      </c>
    </row>
    <row r="38" spans="1:10" x14ac:dyDescent="0.25">
      <c r="A38" t="s">
        <v>51</v>
      </c>
      <c r="C38" t="s">
        <v>470</v>
      </c>
      <c r="D38" t="s">
        <v>427</v>
      </c>
      <c r="F38" s="52">
        <v>8935689</v>
      </c>
      <c r="J38" t="s">
        <v>469</v>
      </c>
    </row>
    <row r="39" spans="1:10" x14ac:dyDescent="0.25">
      <c r="A39" t="s">
        <v>51</v>
      </c>
      <c r="C39" t="s">
        <v>470</v>
      </c>
      <c r="D39" t="s">
        <v>427</v>
      </c>
      <c r="F39" s="52">
        <v>8935689</v>
      </c>
      <c r="J39" t="s">
        <v>469</v>
      </c>
    </row>
    <row r="40" spans="1:10" x14ac:dyDescent="0.25">
      <c r="A40" t="s">
        <v>51</v>
      </c>
      <c r="C40" t="s">
        <v>470</v>
      </c>
      <c r="D40" t="s">
        <v>427</v>
      </c>
      <c r="F40" s="52">
        <v>8935689</v>
      </c>
      <c r="J40" t="s">
        <v>469</v>
      </c>
    </row>
    <row r="41" spans="1:10" x14ac:dyDescent="0.25">
      <c r="A41" t="s">
        <v>51</v>
      </c>
      <c r="C41" t="s">
        <v>470</v>
      </c>
      <c r="D41" t="s">
        <v>427</v>
      </c>
      <c r="F41" s="52">
        <v>8935689</v>
      </c>
      <c r="J41" t="s">
        <v>469</v>
      </c>
    </row>
    <row r="42" spans="1:10" x14ac:dyDescent="0.25">
      <c r="A42" t="s">
        <v>51</v>
      </c>
      <c r="C42" t="s">
        <v>471</v>
      </c>
      <c r="D42" t="s">
        <v>427</v>
      </c>
      <c r="F42" s="52">
        <v>5964510</v>
      </c>
      <c r="J42" t="s">
        <v>469</v>
      </c>
    </row>
    <row r="43" spans="1:10" x14ac:dyDescent="0.25">
      <c r="A43" t="s">
        <v>51</v>
      </c>
      <c r="C43" t="s">
        <v>471</v>
      </c>
      <c r="D43" t="s">
        <v>427</v>
      </c>
      <c r="F43" s="52">
        <v>5964510</v>
      </c>
      <c r="J43" t="s">
        <v>469</v>
      </c>
    </row>
    <row r="44" spans="1:10" x14ac:dyDescent="0.25">
      <c r="A44" t="s">
        <v>51</v>
      </c>
      <c r="C44" t="s">
        <v>472</v>
      </c>
      <c r="D44" t="s">
        <v>466</v>
      </c>
      <c r="E44">
        <v>1</v>
      </c>
      <c r="F44" s="52">
        <v>2800000</v>
      </c>
      <c r="G44">
        <v>2900000</v>
      </c>
      <c r="H44" s="52">
        <f>G44-F44</f>
        <v>100000</v>
      </c>
      <c r="I44" s="54">
        <f>H44/G44</f>
        <v>3.4482758620689655E-2</v>
      </c>
    </row>
    <row r="45" spans="1:10" x14ac:dyDescent="0.25">
      <c r="A45" t="s">
        <v>51</v>
      </c>
      <c r="C45" t="s">
        <v>472</v>
      </c>
      <c r="D45" t="s">
        <v>466</v>
      </c>
      <c r="E45">
        <v>1</v>
      </c>
      <c r="F45" s="52">
        <v>11614279</v>
      </c>
      <c r="H45" s="52"/>
      <c r="I45" s="54"/>
    </row>
    <row r="46" spans="1:10" x14ac:dyDescent="0.25">
      <c r="A46" t="s">
        <v>51</v>
      </c>
      <c r="B46" t="s">
        <v>425</v>
      </c>
      <c r="C46" t="s">
        <v>467</v>
      </c>
      <c r="D46" t="s">
        <v>444</v>
      </c>
      <c r="E46">
        <v>24</v>
      </c>
      <c r="F46" s="52">
        <v>366288</v>
      </c>
    </row>
    <row r="47" spans="1:10" x14ac:dyDescent="0.25">
      <c r="F47" s="52"/>
    </row>
    <row r="48" spans="1:10" x14ac:dyDescent="0.25">
      <c r="F48" s="52"/>
    </row>
    <row r="49" spans="6:6" x14ac:dyDescent="0.25">
      <c r="F49" s="52"/>
    </row>
    <row r="50" spans="6:6" x14ac:dyDescent="0.25">
      <c r="F50" s="52"/>
    </row>
    <row r="51" spans="6:6" x14ac:dyDescent="0.25">
      <c r="F51" s="52"/>
    </row>
    <row r="52" spans="6:6" x14ac:dyDescent="0.25">
      <c r="F52" s="52"/>
    </row>
    <row r="53" spans="6:6" x14ac:dyDescent="0.25">
      <c r="F53" s="52"/>
    </row>
    <row r="54" spans="6:6" x14ac:dyDescent="0.25">
      <c r="F54" s="52"/>
    </row>
    <row r="55" spans="6:6" x14ac:dyDescent="0.25">
      <c r="F55" s="52"/>
    </row>
  </sheetData>
  <autoFilter ref="A1:L46" xr:uid="{657BC9E7-F0A8-4EB2-9025-41BED2F011C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29e62c5-bc99-4b20-af12-eaf7925850dd}" enabled="0" method="" siteId="{329e62c5-bc99-4b20-af12-eaf7925850d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RELACION CONTRATOS</vt:lpstr>
      <vt:lpstr>BODEGA ITAGUI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Ivonne Andrea Prieto Huertas</dc:creator>
  <cp:keywords/>
  <dc:description/>
  <cp:lastModifiedBy>Tomás Sandoval</cp:lastModifiedBy>
  <cp:revision/>
  <dcterms:created xsi:type="dcterms:W3CDTF">2024-01-11T20:38:46Z</dcterms:created>
  <dcterms:modified xsi:type="dcterms:W3CDTF">2026-06-22T02:41:54Z</dcterms:modified>
  <cp:category/>
  <cp:contentStatus/>
</cp:coreProperties>
</file>